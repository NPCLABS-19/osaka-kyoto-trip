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c6e39158b54d53" /></Relationships>
</file>

<file path=xl/workbook.xml><?xml version="1.0" encoding="utf-8"?>
<x:workbook xmlns:x="http://schemas.openxmlformats.org/spreadsheetml/2006/main">
  <x:sheets>
    <x:sheet xmlns:r="http://schemas.openxmlformats.org/officeDocument/2006/relationships" name="Overview" sheetId="1" r:id="R365317aad2894721"/>
    <x:sheet xmlns:r="http://schemas.openxmlformats.org/officeDocument/2006/relationships" name="Sep 24" sheetId="2" r:id="R59cd962588774c0f"/>
    <x:sheet xmlns:r="http://schemas.openxmlformats.org/officeDocument/2006/relationships" name="Sep 25" sheetId="3" r:id="Rdfbf0066d0b44a0c"/>
    <x:sheet xmlns:r="http://schemas.openxmlformats.org/officeDocument/2006/relationships" name="Sep 26" sheetId="4" r:id="R66f6e6e57e0a45ea"/>
    <x:sheet xmlns:r="http://schemas.openxmlformats.org/officeDocument/2006/relationships" name="Sep 27" sheetId="5" r:id="Rcf411f5bbbc84d35"/>
    <x:sheet xmlns:r="http://schemas.openxmlformats.org/officeDocument/2006/relationships" name="Places &amp; Links" sheetId="6" r:id="R291161c0d56c4235"/>
    <x:sheet xmlns:r="http://schemas.openxmlformats.org/officeDocument/2006/relationships" name="Stay Options" sheetId="7" r:id="R602b93129819441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0"/>
  </x:numFmts>
  <x:fonts count="11">
    <x:font>
      <x:sz val="11"/>
      <x:name val="Carlito"/>
    </x:font>
    <x:font>
      <x:sz val="10"/>
      <x:color rgb="FF17251E"/>
      <x:name val="Aptos"/>
    </x:font>
    <x:font>
      <x:b/>
      <x:sz val="24"/>
      <x:color rgb="FFFFFFFF"/>
      <x:name val="Aptos Display"/>
    </x:font>
    <x:font>
      <x:i/>
      <x:sz val="10"/>
      <x:color rgb="FFFFFFFF"/>
      <x:name val="Aptos"/>
    </x:font>
    <x:font>
      <x:b/>
      <x:sz val="11"/>
      <x:color rgb="FFFFFFFF"/>
      <x:name val="Aptos"/>
    </x:font>
    <x:font>
      <x:b/>
      <x:sz val="9"/>
      <x:color rgb="FF17251E"/>
      <x:name val="Aptos"/>
    </x:font>
    <x:font>
      <x:b/>
      <x:sz val="10"/>
      <x:color rgb="FF345A47"/>
      <x:name val="Aptos"/>
    </x:font>
    <x:font>
      <x:b/>
      <x:sz val="10"/>
      <x:color rgb="FF7C5B12"/>
      <x:name val="Aptos"/>
    </x:font>
    <x:font>
      <x:b/>
      <x:sz val="10"/>
      <x:color rgb="FF17251E"/>
      <x:name val="Aptos"/>
    </x:font>
    <x:font>
      <x:sz val="11"/>
      <x:color rgb="FFFFFFFF"/>
      <x:name val="Aptos"/>
    </x:font>
    <x:font>
      <x:b/>
      <x:sz val="10"/>
      <x:color rgb="FFFFFFFF"/>
      <x:name val="Aptos"/>
    </x:font>
  </x:fonts>
  <x:fills count="9">
    <x:fill>
      <x:patternFill patternType="none"/>
    </x:fill>
    <x:fill>
      <x:patternFill patternType="gray125"/>
    </x:fill>
    <x:fill>
      <x:patternFill patternType="solid">
        <x:fgColor rgb="FFF7F2E8"/>
      </x:patternFill>
    </x:fill>
    <x:fill>
      <x:patternFill patternType="solid">
        <x:fgColor rgb="FF17251E"/>
      </x:patternFill>
    </x:fill>
    <x:fill>
      <x:patternFill patternType="solid">
        <x:fgColor rgb="FF345A47"/>
      </x:patternFill>
    </x:fill>
    <x:fill>
      <x:patternFill patternType="solid">
        <x:fgColor rgb="FFE8DDCB"/>
      </x:patternFill>
    </x:fill>
    <x:fill>
      <x:patternFill patternType="solid">
        <x:fgColor rgb="FFFFFFFF"/>
      </x:patternFill>
    </x:fill>
    <x:fill>
      <x:patternFill patternType="solid">
        <x:fgColor rgb="FFDCE7DF"/>
      </x:patternFill>
    </x:fill>
    <x:fill>
      <x:patternFill patternType="solid">
        <x:fgColor rgb="FFFFF2D4"/>
      </x:patternFill>
    </x:fill>
  </x:fills>
  <x:borders count="11">
    <x:border/>
    <x:border>
      <x:left style="thin">
        <x:color rgb="FFD6D2C8"/>
      </x:left>
      <x:right style="thin">
        <x:color rgb="FFD6D2C8"/>
      </x:right>
      <x:top style="thin">
        <x:color rgb="FFD6D2C8"/>
      </x:top>
      <x:bottom style="thin">
        <x:color rgb="FFD6D2C8"/>
      </x:bottom>
    </x:border>
    <x:border>
      <x:left style="thin">
        <x:color rgb="FFD6D2C8"/>
      </x:left>
      <x:top style="thin">
        <x:color rgb="FFD6D2C8"/>
      </x:top>
    </x:border>
    <x:border>
      <x:top style="thin">
        <x:color rgb="FFD6D2C8"/>
      </x:top>
    </x:border>
    <x:border>
      <x:right style="thin">
        <x:color rgb="FFD6D2C8"/>
      </x:right>
      <x:top style="thin">
        <x:color rgb="FFD6D2C8"/>
      </x:top>
    </x:border>
    <x:border>
      <x:left style="thin">
        <x:color rgb="FFD6D2C8"/>
      </x:left>
      <x:bottom style="thin">
        <x:color rgb="FFD6D2C8"/>
      </x:bottom>
    </x:border>
    <x:border>
      <x:bottom style="thin">
        <x:color rgb="FFD6D2C8"/>
      </x:bottom>
    </x:border>
    <x:border>
      <x:right style="thin">
        <x:color rgb="FFD6D2C8"/>
      </x:right>
      <x:bottom style="thin">
        <x:color rgb="FFD6D2C8"/>
      </x:bottom>
    </x:border>
    <x:border>
      <x:left style="thin">
        <x:color rgb="FF345A47"/>
      </x:left>
      <x:right style="thin">
        <x:color rgb="FF345A47"/>
      </x:right>
      <x:top style="thin">
        <x:color rgb="FF345A47"/>
      </x:top>
      <x:bottom style="thin">
        <x:color rgb="FF345A47"/>
      </x:bottom>
    </x:border>
    <x:border>
      <x:left style="thin">
        <x:color rgb="FFD6D2C8"/>
      </x:left>
    </x:border>
    <x:border>
      <x:right style="thin">
        <x:color rgb="FFD6D2C8"/>
      </x:right>
    </x:border>
  </x:borders>
  <x:cellStyleXfs count="1">
    <x:xf numFmtId="0" fontId="0" fillId="0" borderId="0"/>
  </x:cellStyleXfs>
  <x:cellXfs count="10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horizontal="left" vertical="center"/>
    </x:xf>
    <x:xf numFmtId="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left" vertical="center" wrapText="1"/>
    </x:xf>
    <x:xf numFmtId="0" fontId="4" fillId="4"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5" fillId="5" borderId="1" xfId="0" applyNumberFormat="1" applyFont="1" applyFill="1" applyBorder="1" applyAlignment="1">
      <x:alignment vertical="center"/>
    </x:xf>
    <x:xf numFmtId="0" fontId="5" fillId="5" borderId="1" xfId="0" applyNumberFormat="1" applyFont="1" applyFill="1" applyBorder="1" applyAlignment="1">
      <x:alignment vertical="center" wrapText="1"/>
    </x:xf>
    <x:xf numFmtId="0" fontId="5" fillId="5" borderId="1" xfId="0" applyNumberFormat="1" applyFont="1" applyFill="1" applyBorder="1" applyAlignment="1">
      <x:alignment horizontal="left" vertical="center" wrapText="1"/>
    </x:xf>
    <x:xf numFmtId="0" fontId="1" fillId="2" borderId="1" xfId="0" applyNumberFormat="1" applyFont="1" applyFill="1" applyBorder="1" applyAlignment="1">
      <x:alignment vertical="center"/>
    </x:xf>
    <x:xf numFmtId="0" fontId="1" fillId="2" borderId="1" xfId="0" applyNumberFormat="1" applyFont="1" applyFill="1" applyBorder="1" applyAlignment="1">
      <x:alignment vertical="center" wrapText="1"/>
    </x:xf>
    <x:xf numFmtId="0" fontId="1" fillId="2" borderId="1" xfId="0" applyNumberFormat="1" applyFont="1" applyFill="1" applyBorder="1" applyAlignment="1">
      <x:alignment vertical="top" wrapText="1"/>
    </x:xf>
    <x:xf numFmtId="0" fontId="1" fillId="6" borderId="0" xfId="0" applyNumberFormat="1" applyFont="1" applyFill="1" applyBorder="1" applyAlignment="1">
      <x:alignment vertical="center"/>
    </x:xf>
    <x:xf numFmtId="0" fontId="1" fillId="6" borderId="1" xfId="0" applyNumberFormat="1" applyFont="1" applyFill="1" applyBorder="1" applyAlignment="1">
      <x:alignment vertical="center"/>
    </x:xf>
    <x:xf numFmtId="0" fontId="1" fillId="6" borderId="1" xfId="0" applyNumberFormat="1" applyFont="1" applyFill="1" applyBorder="1" applyAlignment="1">
      <x:alignment vertical="center" wrapText="1"/>
    </x:xf>
    <x:xf numFmtId="0" fontId="1" fillId="6" borderId="1" xfId="0" applyNumberFormat="1" applyFont="1" applyFill="1" applyBorder="1" applyAlignment="1">
      <x:alignment vertical="top" wrapText="1"/>
    </x:xf>
    <x:xf numFmtId="0" fontId="6" fillId="2"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6" fillId="2" borderId="1" xfId="0" applyNumberFormat="1" applyFont="1" applyFill="1" applyBorder="1" applyAlignment="1">
      <x:alignment horizontal="center" vertical="top" wrapText="1"/>
    </x:xf>
    <x:xf numFmtId="0" fontId="6" fillId="6" borderId="1" xfId="0" applyNumberFormat="1" applyFont="1" applyFill="1" applyBorder="1" applyAlignment="1">
      <x:alignment horizontal="center" vertical="top" wrapText="1"/>
    </x:xf>
    <x:xf numFmtId="0" fontId="1" fillId="7" borderId="1"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6" fillId="7" borderId="1" xfId="0" applyNumberFormat="1" applyFont="1" applyFill="1" applyBorder="1" applyAlignment="1">
      <x:alignment horizontal="center" vertical="top" wrapText="1"/>
    </x:xf>
    <x:xf numFmtId="0" fontId="1" fillId="8" borderId="1" xfId="0" applyNumberFormat="1" applyFont="1" applyFill="1" applyBorder="1" applyAlignment="1">
      <x:alignment vertical="top" wrapText="1"/>
    </x:xf>
    <x:xf numFmtId="0" fontId="7" fillId="8" borderId="1" xfId="0" applyNumberFormat="1" applyFont="1" applyFill="1" applyBorder="1" applyAlignment="1">
      <x:alignment vertical="top" wrapText="1"/>
    </x:xf>
    <x:xf numFmtId="0" fontId="7" fillId="8" borderId="1" xfId="0" applyNumberFormat="1" applyFont="1" applyFill="1" applyBorder="1" applyAlignment="1">
      <x:alignment horizontal="center" vertical="top" wrapText="1"/>
    </x:xf>
    <x:xf numFmtId="200" fontId="1" fillId="2" borderId="0" xfId="0" applyNumberFormat="1" applyFont="1" applyFill="1" applyBorder="1" applyAlignment="1">
      <x:alignment vertical="center"/>
    </x:xf>
    <x:xf numFmtId="0" fontId="8" fillId="5" borderId="0" xfId="0" applyNumberFormat="1" applyFont="1" applyFill="1" applyBorder="1" applyAlignment="1">
      <x:alignment vertical="center"/>
    </x:xf>
    <x:xf numFmtId="0" fontId="8" fillId="5" borderId="1" xfId="0" applyNumberFormat="1" applyFont="1" applyFill="1" applyBorder="1" applyAlignment="1">
      <x:alignment vertical="center"/>
    </x:xf>
    <x:xf numFmtId="200" fontId="1" fillId="6" borderId="0" xfId="0" applyNumberFormat="1" applyFont="1" applyFill="1" applyBorder="1" applyAlignment="1">
      <x:alignment vertical="center"/>
    </x:xf>
    <x:xf numFmtId="200" fontId="1" fillId="6" borderId="1" xfId="0" applyNumberFormat="1" applyFont="1" applyFill="1" applyBorder="1" applyAlignment="1">
      <x:alignment vertical="center"/>
    </x:xf>
    <x:xf numFmtId="200" fontId="1" fillId="6" borderId="1" xfId="0" applyNumberFormat="1" applyFont="1" applyFill="1" applyBorder="1" applyAlignment="1">
      <x:alignment vertical="center" wrapText="1"/>
    </x:xf>
    <x:xf numFmtId="0" fontId="9" fillId="3" borderId="0" xfId="0" applyNumberFormat="1" applyFont="1" applyFill="1" applyBorder="1" applyAlignment="1">
      <x:alignment vertical="center"/>
    </x:xf>
    <x:xf numFmtId="0" fontId="9" fillId="3" borderId="0" xfId="0" applyNumberFormat="1" applyFont="1" applyFill="1" applyBorder="1" applyAlignment="1">
      <x:alignment vertical="center" wrapText="1"/>
    </x:xf>
    <x:xf numFmtId="0" fontId="9" fillId="3" borderId="0" xfId="0" applyNumberFormat="1" applyFont="1" applyFill="1" applyBorder="1" applyAlignment="1">
      <x:alignment horizontal="left" vertical="center" wrapText="1"/>
    </x:xf>
    <x:xf numFmtId="0" fontId="1" fillId="7" borderId="0" xfId="0" applyNumberFormat="1" applyFont="1" applyFill="1" applyBorder="1" applyAlignment="1">
      <x:alignment vertical="center"/>
    </x:xf>
    <x:xf numFmtId="0" fontId="8" fillId="7" borderId="0" xfId="0" applyNumberFormat="1" applyFont="1" applyFill="1" applyBorder="1" applyAlignment="1">
      <x:alignment vertical="center"/>
    </x:xf>
    <x:xf numFmtId="0" fontId="8" fillId="7"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8" fillId="5"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horizontal="left" vertical="center" wrapText="1"/>
    </x:xf>
    <x:xf numFmtId="0" fontId="4" fillId="4" borderId="0" xfId="0" applyNumberFormat="1" applyFont="1" applyFill="1" applyBorder="1" applyAlignment="1">
      <x:alignment vertical="center" wrapText="1"/>
    </x:xf>
    <x:xf numFmtId="0" fontId="8" fillId="5" borderId="1" xfId="0" applyNumberFormat="1" applyFont="1" applyFill="1" applyBorder="1" applyAlignment="1">
      <x:alignment vertical="center" wrapText="1"/>
    </x:xf>
    <x:xf numFmtId="0" fontId="8" fillId="6" borderId="1" xfId="0" applyNumberFormat="1" applyFont="1" applyFill="1" applyBorder="1" applyAlignment="1">
      <x:alignment vertical="top" wrapText="1"/>
    </x:xf>
    <x:xf numFmtId="0" fontId="8" fillId="2" borderId="1" xfId="0" applyNumberFormat="1" applyFont="1" applyFill="1" applyBorder="1" applyAlignment="1">
      <x:alignment vertical="top" wrapText="1"/>
    </x:xf>
    <x:xf numFmtId="0" fontId="8" fillId="6" borderId="1" xfId="0" applyNumberFormat="1" applyFont="1" applyFill="1" applyBorder="1" applyAlignment="1">
      <x:alignment horizontal="center" vertical="top" wrapText="1"/>
    </x:xf>
    <x:xf numFmtId="0" fontId="8" fillId="2" borderId="1" xfId="0" applyNumberFormat="1" applyFont="1" applyFill="1" applyBorder="1" applyAlignment="1">
      <x:alignment horizontal="center" vertical="top" wrapText="1"/>
    </x:xf>
    <x:xf numFmtId="201" fontId="1" fillId="6" borderId="1" xfId="0" applyNumberFormat="1" applyFont="1" applyFill="1" applyBorder="1" applyAlignment="1">
      <x:alignment vertical="top" wrapText="1"/>
    </x:xf>
    <x:xf numFmtId="201" fontId="1" fillId="2" borderId="1" xfId="0" applyNumberFormat="1" applyFont="1" applyFill="1" applyBorder="1" applyAlignment="1">
      <x:alignment vertical="top" wrapText="1"/>
    </x:xf>
    <x:xf numFmtId="0" fontId="1" fillId="6" borderId="2" xfId="0" applyNumberFormat="1" applyFont="1" applyFill="1" applyBorder="1" applyAlignment="1">
      <x:alignment vertical="center"/>
    </x:xf>
    <x:xf numFmtId="0" fontId="1" fillId="6" borderId="3" xfId="0" applyNumberFormat="1" applyFont="1" applyFill="1" applyBorder="1" applyAlignment="1">
      <x:alignment vertical="center"/>
    </x:xf>
    <x:xf numFmtId="0" fontId="1" fillId="6" borderId="4" xfId="0" applyNumberFormat="1" applyFont="1" applyFill="1" applyBorder="1" applyAlignment="1">
      <x:alignment vertical="center"/>
    </x:xf>
    <x:xf numFmtId="0" fontId="1" fillId="6" borderId="5" xfId="0" applyNumberFormat="1" applyFont="1" applyFill="1" applyBorder="1" applyAlignment="1">
      <x:alignment vertical="center"/>
    </x:xf>
    <x:xf numFmtId="0" fontId="1" fillId="6" borderId="6" xfId="0" applyNumberFormat="1" applyFont="1" applyFill="1" applyBorder="1" applyAlignment="1">
      <x:alignment vertical="center"/>
    </x:xf>
    <x:xf numFmtId="0" fontId="1" fillId="6" borderId="7" xfId="0" applyNumberFormat="1" applyFont="1" applyFill="1" applyBorder="1" applyAlignment="1">
      <x:alignment vertical="center"/>
    </x:xf>
    <x:xf numFmtId="0" fontId="1" fillId="6" borderId="2" xfId="0" applyNumberFormat="1" applyFont="1" applyFill="1" applyBorder="1" applyAlignment="1">
      <x:alignment vertical="center" wrapText="1"/>
    </x:xf>
    <x:xf numFmtId="0" fontId="1" fillId="6" borderId="3" xfId="0" applyNumberFormat="1" applyFont="1" applyFill="1" applyBorder="1" applyAlignment="1">
      <x:alignment vertical="center" wrapText="1"/>
    </x:xf>
    <x:xf numFmtId="0" fontId="1" fillId="6" borderId="4" xfId="0" applyNumberFormat="1" applyFont="1" applyFill="1" applyBorder="1" applyAlignment="1">
      <x:alignment vertical="center" wrapText="1"/>
    </x:xf>
    <x:xf numFmtId="0" fontId="1" fillId="6" borderId="5" xfId="0" applyNumberFormat="1" applyFont="1" applyFill="1" applyBorder="1" applyAlignment="1">
      <x:alignment vertical="center" wrapText="1"/>
    </x:xf>
    <x:xf numFmtId="0" fontId="1" fillId="6" borderId="6" xfId="0" applyNumberFormat="1" applyFont="1" applyFill="1" applyBorder="1" applyAlignment="1">
      <x:alignment vertical="center" wrapText="1"/>
    </x:xf>
    <x:xf numFmtId="0" fontId="1" fillId="6" borderId="7" xfId="0" applyNumberFormat="1" applyFont="1" applyFill="1" applyBorder="1" applyAlignment="1">
      <x:alignment vertical="center" wrapText="1"/>
    </x:xf>
    <x:xf numFmtId="202" fontId="1" fillId="2" borderId="0" xfId="0" applyNumberFormat="1" applyFont="1" applyFill="1" applyBorder="1" applyAlignment="1">
      <x:alignment vertical="center"/>
    </x:xf>
    <x:xf numFmtId="202" fontId="1" fillId="6" borderId="0" xfId="0" applyNumberFormat="1" applyFont="1" applyFill="1" applyBorder="1" applyAlignment="1">
      <x:alignment vertical="center"/>
    </x:xf>
    <x:xf numFmtId="202" fontId="1" fillId="6" borderId="1" xfId="0" applyNumberFormat="1" applyFont="1" applyFill="1" applyBorder="1" applyAlignment="1">
      <x:alignment vertical="center"/>
    </x:xf>
    <x:xf numFmtId="202" fontId="1" fillId="6" borderId="1" xfId="0" applyNumberFormat="1" applyFont="1" applyFill="1" applyBorder="1" applyAlignment="1">
      <x:alignment vertical="center" wrapText="1"/>
    </x:xf>
    <x:xf numFmtId="200" fontId="1" fillId="6" borderId="1" xfId="0" applyNumberFormat="1" applyFont="1" applyFill="1" applyBorder="1" applyAlignment="1">
      <x:alignment vertical="top" wrapText="1"/>
    </x:xf>
    <x:xf numFmtId="202" fontId="1" fillId="6" borderId="1" xfId="0" applyNumberFormat="1" applyFont="1" applyFill="1" applyBorder="1" applyAlignment="1">
      <x:alignment vertical="top" wrapText="1"/>
    </x:xf>
    <x:xf numFmtId="200" fontId="1" fillId="2" borderId="1" xfId="0" applyNumberFormat="1" applyFont="1" applyFill="1" applyBorder="1" applyAlignment="1">
      <x:alignment vertical="center"/>
    </x:xf>
    <x:xf numFmtId="202" fontId="1" fillId="2" borderId="1" xfId="0" applyNumberFormat="1" applyFont="1" applyFill="1" applyBorder="1" applyAlignment="1">
      <x:alignment vertical="center"/>
    </x:xf>
    <x:xf numFmtId="200" fontId="1" fillId="2" borderId="1" xfId="0" applyNumberFormat="1" applyFont="1" applyFill="1" applyBorder="1" applyAlignment="1">
      <x:alignment vertical="center" wrapText="1"/>
    </x:xf>
    <x:xf numFmtId="202" fontId="1" fillId="2" borderId="1" xfId="0" applyNumberFormat="1" applyFont="1" applyFill="1" applyBorder="1" applyAlignment="1">
      <x:alignment vertical="center" wrapText="1"/>
    </x:xf>
    <x:xf numFmtId="200" fontId="1" fillId="2" borderId="1" xfId="0" applyNumberFormat="1" applyFont="1" applyFill="1" applyBorder="1" applyAlignment="1">
      <x:alignment vertical="top" wrapText="1"/>
    </x:xf>
    <x:xf numFmtId="202" fontId="1" fillId="2" borderId="1" xfId="0" applyNumberFormat="1" applyFont="1" applyFill="1" applyBorder="1" applyAlignment="1">
      <x:alignment vertical="top" wrapText="1"/>
    </x:xf>
    <x:xf numFmtId="200" fontId="1" fillId="7" borderId="1" xfId="0" applyNumberFormat="1" applyFont="1" applyFill="1" applyBorder="1" applyAlignment="1">
      <x:alignment vertical="top" wrapText="1"/>
    </x:xf>
    <x:xf numFmtId="202" fontId="1" fillId="7" borderId="1" xfId="0" applyNumberFormat="1" applyFont="1" applyFill="1" applyBorder="1" applyAlignment="1">
      <x:alignment vertical="top" wrapText="1"/>
    </x:xf>
    <x:xf numFmtId="0" fontId="1" fillId="7" borderId="8" xfId="0" applyNumberFormat="1" applyFont="1" applyFill="1" applyBorder="1" applyAlignment="1">
      <x:alignment vertical="top" wrapText="1"/>
    </x:xf>
    <x:xf numFmtId="200" fontId="1" fillId="7" borderId="8" xfId="0" applyNumberFormat="1" applyFont="1" applyFill="1" applyBorder="1" applyAlignment="1">
      <x:alignment vertical="top" wrapText="1"/>
    </x:xf>
    <x:xf numFmtId="202" fontId="1" fillId="7" borderId="8"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0" fillId="4" borderId="8" xfId="0" applyNumberFormat="1" applyFont="1" applyFill="1" applyBorder="1" applyAlignment="1">
      <x:alignment vertical="top" wrapText="1"/>
    </x:xf>
    <x:xf numFmtId="200" fontId="6" fillId="7" borderId="8" xfId="0" applyNumberFormat="1" applyFont="1" applyFill="1" applyBorder="1" applyAlignment="1">
      <x:alignment vertical="top" wrapText="1"/>
    </x:xf>
    <x:xf numFmtId="200" fontId="6" fillId="2" borderId="1" xfId="0" applyNumberFormat="1" applyFont="1" applyFill="1" applyBorder="1" applyAlignment="1">
      <x:alignment vertical="top" wrapText="1"/>
    </x:xf>
    <x:xf numFmtId="200" fontId="6" fillId="6" borderId="1" xfId="0" applyNumberFormat="1" applyFont="1" applyFill="1" applyBorder="1" applyAlignment="1">
      <x:alignment vertical="top" wrapText="1"/>
    </x:xf>
    <x:xf numFmtId="200" fontId="6" fillId="7" borderId="8" xfId="0" applyNumberFormat="1" applyFont="1" applyFill="1" applyBorder="1" applyAlignment="1">
      <x:alignment horizontal="center" vertical="top" wrapText="1"/>
    </x:xf>
    <x:xf numFmtId="200" fontId="6" fillId="2" borderId="1" xfId="0" applyNumberFormat="1" applyFont="1" applyFill="1" applyBorder="1" applyAlignment="1">
      <x:alignment horizontal="center" vertical="top" wrapText="1"/>
    </x:xf>
    <x:xf numFmtId="200" fontId="6" fillId="6" borderId="1" xfId="0" applyNumberFormat="1" applyFont="1" applyFill="1" applyBorder="1" applyAlignment="1">
      <x:alignment horizontal="center" vertical="top" wrapText="1"/>
    </x:xf>
    <x:xf numFmtId="0" fontId="10" fillId="3" borderId="0" xfId="0" applyNumberFormat="1" applyFont="1" applyFill="1" applyBorder="1" applyAlignment="1">
      <x:alignment vertical="center"/>
    </x:xf>
    <x:xf numFmtId="0" fontId="1" fillId="6" borderId="9" xfId="0" applyNumberFormat="1" applyFont="1" applyFill="1" applyBorder="1" applyAlignment="1">
      <x:alignment vertical="center"/>
    </x:xf>
    <x:xf numFmtId="0" fontId="1" fillId="6" borderId="10" xfId="0" applyNumberFormat="1" applyFont="1" applyFill="1" applyBorder="1" applyAlignment="1">
      <x:alignment vertical="center"/>
    </x:xf>
    <x:xf numFmtId="0" fontId="1" fillId="6" borderId="9" xfId="0" applyNumberFormat="1" applyFont="1" applyFill="1" applyBorder="1" applyAlignment="1">
      <x:alignment vertical="center" wrapText="1"/>
    </x:xf>
    <x:xf numFmtId="0" fontId="1" fillId="6" borderId="10" xfId="0" applyNumberFormat="1" applyFont="1" applyFill="1" applyBorder="1" applyAlignment="1">
      <x:alignment vertical="center" wrapText="1"/>
    </x:xf>
    <x:xf numFmtId="0" fontId="10" fillId="3" borderId="0" xfId="0" applyNumberFormat="1" applyFont="1" applyFill="1" applyBorder="1" applyAlignment="1">
      <x:alignment vertical="center" wrapText="1"/>
    </x:xf>
  </x:cellXfs>
  <x:cellStyles count="1">
    <x:cellStyle name="Normal" xfId="0"/>
  </x:cellStyles>
  <x:dxfs count="12">
    <x:dxf>
      <x:font>
        <x:b/>
        <x:color rgb="FF345A47"/>
      </x:font>
      <x:fill>
        <x:patternFill patternType="solid">
          <x:bgColor rgb="FFDCE7DF"/>
        </x:patternFill>
      </x:fill>
    </x:dxf>
    <x:dxf>
      <x:font>
        <x:b/>
        <x:color rgb="FF7C5B12"/>
      </x:font>
      <x:fill>
        <x:patternFill patternType="solid">
          <x:bgColor rgb="FFFFF2D4"/>
        </x:patternFill>
      </x:fill>
    </x:dxf>
    <x:dxf>
      <x:font>
        <x:b/>
        <x:color rgb="FF59427C"/>
      </x:font>
      <x:fill>
        <x:patternFill patternType="solid">
          <x:bgColor rgb="FFE9E4F4"/>
        </x:patternFill>
      </x:fill>
    </x:dxf>
    <x:dxf>
      <x:font>
        <x:b/>
        <x:color rgb="FF345A47"/>
      </x:font>
      <x:fill>
        <x:patternFill patternType="solid">
          <x:bgColor rgb="FFDCE7DF"/>
        </x:patternFill>
      </x:fill>
    </x:dxf>
    <x:dxf>
      <x:font>
        <x:b/>
        <x:color rgb="FF7C5B12"/>
      </x:font>
      <x:fill>
        <x:patternFill patternType="solid">
          <x:bgColor rgb="FFFFF2D4"/>
        </x:patternFill>
      </x:fill>
    </x:dxf>
    <x:dxf>
      <x:font>
        <x:b/>
        <x:color rgb="FF59427C"/>
      </x:font>
      <x:fill>
        <x:patternFill patternType="solid">
          <x:bgColor rgb="FFE9E4F4"/>
        </x:patternFill>
      </x:fill>
    </x:dxf>
    <x:dxf>
      <x:font>
        <x:b/>
        <x:color rgb="FF345A47"/>
      </x:font>
      <x:fill>
        <x:patternFill patternType="solid">
          <x:bgColor rgb="FFDCE7DF"/>
        </x:patternFill>
      </x:fill>
    </x:dxf>
    <x:dxf>
      <x:font>
        <x:b/>
        <x:color rgb="FF7C5B12"/>
      </x:font>
      <x:fill>
        <x:patternFill patternType="solid">
          <x:bgColor rgb="FFFFF2D4"/>
        </x:patternFill>
      </x:fill>
    </x:dxf>
    <x:dxf>
      <x:font>
        <x:b/>
        <x:color rgb="FF59427C"/>
      </x:font>
      <x:fill>
        <x:patternFill patternType="solid">
          <x:bgColor rgb="FFE9E4F4"/>
        </x:patternFill>
      </x:fill>
    </x:dxf>
    <x:dxf>
      <x:font>
        <x:b/>
        <x:color rgb="FF345A47"/>
      </x:font>
      <x:fill>
        <x:patternFill patternType="solid">
          <x:bgColor rgb="FFDCE7DF"/>
        </x:patternFill>
      </x:fill>
    </x:dxf>
    <x:dxf>
      <x:font>
        <x:b/>
        <x:color rgb="FF7C5B12"/>
      </x:font>
      <x:fill>
        <x:patternFill patternType="solid">
          <x:bgColor rgb="FFFFF2D4"/>
        </x:patternFill>
      </x:fill>
    </x:dxf>
    <x:dxf>
      <x:font>
        <x:b/>
        <x:color rgb="FF59427C"/>
      </x:font>
      <x:fill>
        <x:patternFill patternType="solid">
          <x:bgColor rgb="FFE9E4F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983747946940a0" /><Relationship Type="http://schemas.openxmlformats.org/officeDocument/2006/relationships/theme" Target="/xl/theme/theme1.xml" Id="Re89eedaf61bc4895" /><Relationship Type="http://schemas.openxmlformats.org/officeDocument/2006/relationships/sharedStrings" Target="/xl/sharedStrings.xml" Id="R6dc83df04fb64f9b" /><Relationship Type="http://schemas.openxmlformats.org/officeDocument/2006/relationships/worksheet" Target="/xl/worksheets/sheet1.xml" Id="R365317aad2894721" /><Relationship Type="http://schemas.openxmlformats.org/officeDocument/2006/relationships/worksheet" Target="/xl/worksheets/sheet2.xml" Id="R59cd962588774c0f" /><Relationship Type="http://schemas.openxmlformats.org/officeDocument/2006/relationships/worksheet" Target="/xl/worksheets/sheet3.xml" Id="Rdfbf0066d0b44a0c" /><Relationship Type="http://schemas.openxmlformats.org/officeDocument/2006/relationships/worksheet" Target="/xl/worksheets/sheet4.xml" Id="R66f6e6e57e0a45ea" /><Relationship Type="http://schemas.openxmlformats.org/officeDocument/2006/relationships/worksheet" Target="/xl/worksheets/sheet5.xml" Id="Rcf411f5bbbc84d35" /><Relationship Type="http://schemas.openxmlformats.org/officeDocument/2006/relationships/worksheet" Target="/xl/worksheets/sheet6.xml" Id="R291161c0d56c4235" /><Relationship Type="http://schemas.openxmlformats.org/officeDocument/2006/relationships/worksheet" Target="/xl/worksheets/sheet7.xml" Id="R602b9312981944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9" hidden="0" customWidth="1"/>
    <x:col min="3" max="3" width="29" hidden="0" customWidth="1"/>
    <x:col min="4" max="4" width="24" hidden="0" customWidth="1"/>
    <x:col min="5" max="5" width="10" hidden="0" customWidth="1"/>
    <x:col min="6" max="6" width="17" hidden="0" customWidth="1"/>
    <x:col min="7" max="7" width="31" hidden="0" customWidth="1"/>
    <x:col min="8" max="8" width="18" hidden="0" customWidth="1"/>
    <x:col min="9" max="9" width="31" hidden="0" customWidth="1"/>
    <x:col min="10" max="10" width="15" hidden="0" customWidth="1"/>
  </x:cols>
  <x:sheetData>
    <x:row r="1" ht="32" customHeight="1">
      <x:c r="A1" s="49" t="str">
        <x:v>Osaka + Kyoto · 23–27 September 2026</x:v>
      </x:c>
      <x:c r="B1" s="49" t="str">
        <x:v>Osaka + Kyoto · 23–27 September 2026</x:v>
      </x:c>
      <x:c r="C1" s="49" t="str">
        <x:v>Osaka + Kyoto · 23–27 September 2026</x:v>
      </x:c>
      <x:c r="D1" s="49" t="str">
        <x:v>Osaka + Kyoto · 23–27 September 2026</x:v>
      </x:c>
      <x:c r="E1" s="49" t="str">
        <x:v>Osaka + Kyoto · 23–27 September 2026</x:v>
      </x:c>
      <x:c r="F1" s="49" t="str">
        <x:v>Osaka + Kyoto · 23–27 September 2026</x:v>
      </x:c>
      <x:c r="G1" s="49" t="str">
        <x:v>Osaka + Kyoto · 23–27 September 2026</x:v>
      </x:c>
      <x:c r="H1" s="49" t="str">
        <x:v>Osaka + Kyoto · 23–27 September 2026</x:v>
      </x:c>
      <x:c r="I1" s="49" t="str">
        <x:v>Osaka + Kyoto · 23–27 September 2026</x:v>
      </x:c>
      <x:c r="J1" s="49" t="str">
        <x:v>Osaka + Kyoto · 23–27 September 2026</x:v>
      </x:c>
      <x:c r="K1" s="3"/>
      <x:c r="L1" s="3"/>
      <x:c r="M1" s="3"/>
    </x:row>
    <x:row r="2" ht="32" customHeight="1">
      <x:c r="A2" s="49" t="str">
        <x:v>Osaka + Kyoto · 23–27 September 2026</x:v>
      </x:c>
      <x:c r="B2" s="49" t="str">
        <x:v>Osaka + Kyoto · 23–27 September 2026</x:v>
      </x:c>
      <x:c r="C2" s="49" t="str">
        <x:v>Osaka + Kyoto · 23–27 September 2026</x:v>
      </x:c>
      <x:c r="D2" s="49" t="str">
        <x:v>Osaka + Kyoto · 23–27 September 2026</x:v>
      </x:c>
      <x:c r="E2" s="49" t="str">
        <x:v>Osaka + Kyoto · 23–27 September 2026</x:v>
      </x:c>
      <x:c r="F2" s="49" t="str">
        <x:v>Osaka + Kyoto · 23–27 September 2026</x:v>
      </x:c>
      <x:c r="G2" s="49" t="str">
        <x:v>Osaka + Kyoto · 23–27 September 2026</x:v>
      </x:c>
      <x:c r="H2" s="49" t="str">
        <x:v>Osaka + Kyoto · 23–27 September 2026</x:v>
      </x:c>
      <x:c r="I2" s="49" t="str">
        <x:v>Osaka + Kyoto · 23–27 September 2026</x:v>
      </x:c>
      <x:c r="J2" s="49" t="str">
        <x:v>Osaka + Kyoto · 23–27 September 2026</x:v>
      </x:c>
      <x:c r="K2" s="3"/>
      <x:c r="L2" s="3"/>
      <x:c r="M2" s="3"/>
    </x:row>
    <x:row r="3" ht="28" customHeight="1">
      <x:c r="A3" s="10" t="str">
        <x:v>Two travellers · Honmachi base · relaxed pace · no more than two time-sensitive items per day · Tokyo ↔ Osaka by train</x:v>
      </x:c>
      <x:c r="B3" s="10" t="str">
        <x:v>Two travellers · Honmachi base · relaxed pace · no more than two time-sensitive items per day · Tokyo ↔ Osaka by train</x:v>
      </x:c>
      <x:c r="C3" s="10" t="str">
        <x:v>Two travellers · Honmachi base · relaxed pace · no more than two time-sensitive items per day · Tokyo ↔ Osaka by train</x:v>
      </x:c>
      <x:c r="D3" s="10" t="str">
        <x:v>Two travellers · Honmachi base · relaxed pace · no more than two time-sensitive items per day · Tokyo ↔ Osaka by train</x:v>
      </x:c>
      <x:c r="E3" s="10" t="str">
        <x:v>Two travellers · Honmachi base · relaxed pace · no more than two time-sensitive items per day · Tokyo ↔ Osaka by train</x:v>
      </x:c>
      <x:c r="F3" s="10" t="str">
        <x:v>Two travellers · Honmachi base · relaxed pace · no more than two time-sensitive items per day · Tokyo ↔ Osaka by train</x:v>
      </x:c>
      <x:c r="G3" s="10" t="str">
        <x:v>Two travellers · Honmachi base · relaxed pace · no more than two time-sensitive items per day · Tokyo ↔ Osaka by train</x:v>
      </x:c>
      <x:c r="H3" s="10" t="str">
        <x:v>Two travellers · Honmachi base · relaxed pace · no more than two time-sensitive items per day · Tokyo ↔ Osaka by train</x:v>
      </x:c>
      <x:c r="I3" s="10" t="str">
        <x:v>Two travellers · Honmachi base · relaxed pace · no more than two time-sensitive items per day · Tokyo ↔ Osaka by train</x:v>
      </x:c>
      <x:c r="J3" s="10" t="str">
        <x:v>Two travellers · Honmachi base · relaxed pace · no more than two time-sensitive items per day · Tokyo ↔ Osaka by train</x:v>
      </x:c>
      <x:c r="K3" s="3"/>
      <x:c r="L3" s="3"/>
      <x:c r="M3" s="3"/>
    </x:row>
    <x:row r="4">
      <x:c r="A4" s="48"/>
      <x:c r="B4" s="48"/>
      <x:c r="C4" s="48"/>
      <x:c r="D4" s="48"/>
      <x:c r="E4" s="48"/>
      <x:c r="F4" s="48"/>
      <x:c r="G4" s="48"/>
      <x:c r="H4" s="48"/>
      <x:c r="I4" s="48"/>
      <x:c r="J4" s="48"/>
      <x:c r="K4" s="3"/>
      <x:c r="L4" s="3"/>
      <x:c r="M4" s="3"/>
    </x:row>
    <x:row r="5" ht="22" customHeight="1">
      <x:c r="A5" s="50" t="str">
        <x:v>Trip at a glance</x:v>
      </x:c>
      <x:c r="B5" s="50" t="str">
        <x:v>Trip at a glance</x:v>
      </x:c>
      <x:c r="C5" s="50" t="str">
        <x:v>Trip at a glance</x:v>
      </x:c>
      <x:c r="D5" s="50" t="str">
        <x:v>Trip at a glance</x:v>
      </x:c>
      <x:c r="E5" s="50" t="str">
        <x:v>Trip at a glance</x:v>
      </x:c>
      <x:c r="F5" s="50" t="str">
        <x:v>Trip at a glance</x:v>
      </x:c>
      <x:c r="G5" s="50" t="str">
        <x:v>Trip at a glance</x:v>
      </x:c>
      <x:c r="H5" s="50" t="str">
        <x:v>Trip at a glance</x:v>
      </x:c>
      <x:c r="I5" s="50" t="str">
        <x:v>Trip at a glance</x:v>
      </x:c>
      <x:c r="J5" s="50" t="str">
        <x:v>Trip at a glance</x:v>
      </x:c>
      <x:c r="K5" s="3"/>
      <x:c r="L5" s="3"/>
      <x:c r="M5" s="3"/>
    </x:row>
    <x:row r="6" ht="30" customHeight="1">
      <x:c r="A6" s="16" t="str">
        <x:v>Date</x:v>
      </x:c>
      <x:c r="B6" s="16" t="str">
        <x:v>Zone</x:v>
      </x:c>
      <x:c r="C6" s="16" t="str">
        <x:v>Day shape</x:v>
      </x:c>
      <x:c r="D6" s="16" t="str">
        <x:v>Time-sensitive anchors</x:v>
      </x:c>
      <x:c r="E6" s="16" t="str">
        <x:v>Count</x:v>
      </x:c>
      <x:c r="F6" s="16" t="str">
        <x:v>Recommended depart</x:v>
      </x:c>
      <x:c r="G6" s="16" t="str">
        <x:v>Weather switch</x:v>
      </x:c>
      <x:c r="H6" s="16" t="str">
        <x:v>Physical load</x:v>
      </x:c>
      <x:c r="I6" s="16" t="str">
        <x:v>Decision needed</x:v>
      </x:c>
      <x:c r="J6" s="16" t="str">
        <x:v>Status</x:v>
      </x:c>
      <x:c r="K6" s="3"/>
      <x:c r="L6" s="3"/>
      <x:c r="M6" s="3"/>
    </x:row>
    <x:row r="7" ht="52" customHeight="1">
      <x:c r="A7" s="19" t="str">
        <x:v>Thu 24 Sep</x:v>
      </x:c>
      <x:c r="B7" s="19" t="str">
        <x:v>Kyoto</x:v>
      </x:c>
      <x:c r="C7" s="19" t="str">
        <x:v>Inoichi Hanare + Garden of Fine Arts</x:v>
      </x:c>
      <x:c r="D7" s="19" t="str">
        <x:v>10:30 ticket distribution</x:v>
      </x:c>
      <x:c r="E7" s="26" t="n">
        <x:f>COUNTIF('Sep 24'!$F$6:$F$18,"Yes")</x:f>
        <x:v>1</x:v>
      </x:c>
      <x:c r="F7" s="19" t="str">
        <x:v>08:55</x:v>
      </x:c>
      <x:c r="G7" s="19" t="str">
        <x:v>If heavy rain: keep Inoichi, replace garden with indoor Kyoto café/design browsing</x:v>
      </x:c>
      <x:c r="H7" s="19" t="str">
        <x:v>Medium · 12–16k steps</x:v>
      </x:c>
      <x:c r="I7" s="19" t="str">
        <x:v>Return time controls garden order</x:v>
      </x:c>
      <x:c r="J7" s="30" t="str">
        <x:v>Approved</x:v>
      </x:c>
      <x:c r="K7" s="3"/>
      <x:c r="L7" s="3"/>
      <x:c r="M7" s="3"/>
    </x:row>
    <x:row r="8" ht="52" customHeight="1">
      <x:c r="A8" s="23" t="str">
        <x:v>Fri 25 Sep</x:v>
      </x:c>
      <x:c r="B8" s="23" t="str">
        <x:v>Osaka south + central</x:v>
      </x:c>
      <x:c r="C8" s="23" t="str">
        <x:v>Azuma House exterior + WAD</x:v>
      </x:c>
      <x:c r="D8" s="23" t="str">
        <x:v>None</x:v>
      </x:c>
      <x:c r="E8" s="27" t="n">
        <x:f>COUNTIF('Sep 25'!$F$6:$F$18,"Yes")</x:f>
        <x:v>0</x:v>
      </x:c>
      <x:c r="F8" s="23" t="str">
        <x:v>09:30</x:v>
      </x:c>
      <x:c r="G8" s="23" t="str">
        <x:v>Rain-friendly except exterior stop</x:v>
      </x:c>
      <x:c r="H8" s="23" t="str">
        <x:v>Light · 7–10k steps</x:v>
      </x:c>
      <x:c r="I8" s="23" t="str">
        <x:v>Move B.B. here if Sep 27 train is early</x:v>
      </x:c>
      <x:c r="J8" s="30" t="str">
        <x:v>Approved</x:v>
      </x:c>
      <x:c r="K8" s="3"/>
      <x:c r="L8" s="3"/>
      <x:c r="M8" s="3"/>
    </x:row>
    <x:row r="9" ht="52" customHeight="1">
      <x:c r="A9" s="19" t="str">
        <x:v>Sat 26 Sep</x:v>
      </x:c>
      <x:c r="B9" s="19" t="str">
        <x:v>Ikoma</x:v>
      </x:c>
      <x:c r="C9" s="19" t="str">
        <x:v>Ikoma Sanjo + Sky Cycle</x:v>
      </x:c>
      <x:c r="D9" s="19" t="str">
        <x:v>09:40 cable target</x:v>
      </x:c>
      <x:c r="E9" s="26" t="n">
        <x:f>COUNTIF('Sep 26'!$F$6:$F$18,"Yes")</x:f>
        <x:v>1</x:v>
      </x:c>
      <x:c r="F9" s="19" t="str">
        <x:v>08:50</x:v>
      </x:c>
      <x:c r="G9" s="19" t="str">
        <x:v>Do not force it in rain, high wind or low cloud</x:v>
      </x:c>
      <x:c r="H9" s="19" t="str">
        <x:v>Medium · hills + queues</x:v>
      </x:c>
      <x:c r="I9" s="19" t="str">
        <x:v>Check park alerts and weather morning-of</x:v>
      </x:c>
      <x:c r="J9" s="30" t="str">
        <x:v>Approved</x:v>
      </x:c>
      <x:c r="K9" s="3"/>
      <x:c r="L9" s="3"/>
      <x:c r="M9" s="3"/>
    </x:row>
    <x:row r="10" ht="52" customHeight="1">
      <x:c r="A10" s="23" t="str">
        <x:v>Sun 27 Sep</x:v>
      </x:c>
      <x:c r="B10" s="23" t="str">
        <x:v>Umeda + departure</x:v>
      </x:c>
      <x:c r="C10" s="23" t="str">
        <x:v>B.B. / Grand Green only if train timing allows</x:v>
      </x:c>
      <x:c r="D10" s="23" t="str">
        <x:v>Tokyo train</x:v>
      </x:c>
      <x:c r="E10" s="27" t="n">
        <x:f>COUNTIF('Sep 27'!$F$6:$F$18,"Yes")</x:f>
        <x:v>1</x:v>
      </x:c>
      <x:c r="F10" s="23" t="str">
        <x:v>Train-dependent</x:v>
      </x:c>
      <x:c r="G10" s="23" t="str">
        <x:v>Both work in light rain; Grand Green is outdoors</x:v>
      </x:c>
      <x:c r="H10" s="23" t="str">
        <x:v>Light</x:v>
      </x:c>
      <x:c r="I10" s="23" t="str">
        <x:v>Confirm Tokyo train; use Sep 25 fallback if before 17:00</x:v>
      </x:c>
      <x:c r="J10" s="33" t="str">
        <x:v>Conditional</x:v>
      </x:c>
      <x:c r="K10" s="3"/>
      <x:c r="L10" s="3"/>
      <x:c r="M10" s="3"/>
    </x:row>
    <x:row r="11">
      <x:c r="A11" s="48"/>
      <x:c r="B11" s="48"/>
      <x:c r="C11" s="48"/>
      <x:c r="D11" s="48"/>
      <x:c r="E11" s="48"/>
      <x:c r="F11" s="48"/>
      <x:c r="G11" s="48"/>
      <x:c r="H11" s="48"/>
      <x:c r="I11" s="48"/>
      <x:c r="J11" s="48"/>
      <x:c r="K11" s="3"/>
      <x:c r="L11" s="3"/>
      <x:c r="M11" s="3"/>
    </x:row>
    <x:row r="12" ht="22" customHeight="1">
      <x:c r="A12" s="50" t="str">
        <x:v>Stay recommendation</x:v>
      </x:c>
      <x:c r="B12" s="50" t="str">
        <x:v>Stay recommendation</x:v>
      </x:c>
      <x:c r="C12" s="50" t="str">
        <x:v>Stay recommendation</x:v>
      </x:c>
      <x:c r="D12" s="50" t="str">
        <x:v>Stay recommendation</x:v>
      </x:c>
      <x:c r="E12" s="50" t="str">
        <x:v>Stay recommendation</x:v>
      </x:c>
      <x:c r="F12" s="50" t="str">
        <x:v>Stay recommendation</x:v>
      </x:c>
      <x:c r="G12" s="50" t="str">
        <x:v>Stay recommendation</x:v>
      </x:c>
      <x:c r="H12" s="50" t="str">
        <x:v>Stay recommendation</x:v>
      </x:c>
      <x:c r="I12" s="50" t="str">
        <x:v>Stay recommendation</x:v>
      </x:c>
      <x:c r="J12" s="50" t="str">
        <x:v>Stay recommendation</x:v>
      </x:c>
      <x:c r="K12" s="3"/>
      <x:c r="L12" s="3"/>
      <x:c r="M12" s="3"/>
    </x:row>
    <x:row r="13" ht="32" customHeight="1">
      <x:c r="A13" s="51" t="str">
        <x:v>Base</x:v>
      </x:c>
      <x:c r="B13" s="22" t="str">
        <x:v>Honmachi</x:v>
      </x:c>
      <x:c r="C13" s="48"/>
      <x:c r="D13" s="42" t="str">
        <x:v>Travel rule of thumb
Treat listed commute times as planning ranges from Honmachi, including usual walks, transfers and waits—not live departure predictions. Build 10–15 minutes of platform/finding-the-exit buffer into Kyoto and Ikoma mornings.</x:v>
      </x:c>
      <x:c r="E13" s="42" t="str">
        <x:v>Travel rule of thumb
Treat listed commute times as planning ranges from Honmachi, including usual walks, transfers and waits—not live departure predictions. Build 10–15 minutes of platform/finding-the-exit buffer into Kyoto and Ikoma mornings.</x:v>
      </x:c>
      <x:c r="F13" s="42" t="str">
        <x:v>Travel rule of thumb
Treat listed commute times as planning ranges from Honmachi, including usual walks, transfers and waits—not live departure predictions. Build 10–15 minutes of platform/finding-the-exit buffer into Kyoto and Ikoma mornings.</x:v>
      </x:c>
      <x:c r="G13" s="42" t="str">
        <x:v>Travel rule of thumb
Treat listed commute times as planning ranges from Honmachi, including usual walks, transfers and waits—not live departure predictions. Build 10–15 minutes of platform/finding-the-exit buffer into Kyoto and Ikoma mornings.</x:v>
      </x:c>
      <x:c r="H13" s="42" t="str">
        <x:v>Travel rule of thumb
Treat listed commute times as planning ranges from Honmachi, including usual walks, transfers and waits—not live departure predictions. Build 10–15 minutes of platform/finding-the-exit buffer into Kyoto and Ikoma mornings.</x:v>
      </x:c>
      <x:c r="I13" s="42" t="str">
        <x:v>Travel rule of thumb
Treat listed commute times as planning ranges from Honmachi, including usual walks, transfers and waits—not live departure predictions. Build 10–15 minutes of platform/finding-the-exit buffer into Kyoto and Ikoma mornings.</x:v>
      </x:c>
      <x:c r="J13" s="42" t="str">
        <x:v>Travel rule of thumb
Treat listed commute times as planning ranges from Honmachi, including usual walks, transfers and waits—not live departure predictions. Build 10–15 minutes of platform/finding-the-exit buffer into Kyoto and Ikoma mornings.</x:v>
      </x:c>
      <x:c r="K13" s="3"/>
      <x:c r="L13" s="3"/>
      <x:c r="M13" s="3"/>
    </x:row>
    <x:row r="14" ht="32" customHeight="1">
      <x:c r="A14" s="51" t="str">
        <x:v>Recommended listing</x:v>
      </x:c>
      <x:c r="B14" s="22" t="str">
        <x:v>Airbnb · 27m² 1K · 2 double beds · lift · washer</x:v>
      </x:c>
      <x:c r="C14" s="48"/>
      <x:c r="D14" s="42" t="str">
        <x:v>Travel rule of thumb
Treat listed commute times as planning ranges from Honmachi, including usual walks, transfers and waits—not live departure predictions. Build 10–15 minutes of platform/finding-the-exit buffer into Kyoto and Ikoma mornings.</x:v>
      </x:c>
      <x:c r="E14" s="42" t="str">
        <x:v>Travel rule of thumb
Treat listed commute times as planning ranges from Honmachi, including usual walks, transfers and waits—not live departure predictions. Build 10–15 minutes of platform/finding-the-exit buffer into Kyoto and Ikoma mornings.</x:v>
      </x:c>
      <x:c r="F14" s="42" t="str">
        <x:v>Travel rule of thumb
Treat listed commute times as planning ranges from Honmachi, including usual walks, transfers and waits—not live departure predictions. Build 10–15 minutes of platform/finding-the-exit buffer into Kyoto and Ikoma mornings.</x:v>
      </x:c>
      <x:c r="G14" s="42" t="str">
        <x:v>Travel rule of thumb
Treat listed commute times as planning ranges from Honmachi, including usual walks, transfers and waits—not live departure predictions. Build 10–15 minutes of platform/finding-the-exit buffer into Kyoto and Ikoma mornings.</x:v>
      </x:c>
      <x:c r="H14" s="42" t="str">
        <x:v>Travel rule of thumb
Treat listed commute times as planning ranges from Honmachi, including usual walks, transfers and waits—not live departure predictions. Build 10–15 minutes of platform/finding-the-exit buffer into Kyoto and Ikoma mornings.</x:v>
      </x:c>
      <x:c r="I14" s="42" t="str">
        <x:v>Travel rule of thumb
Treat listed commute times as planning ranges from Honmachi, including usual walks, transfers and waits—not live departure predictions. Build 10–15 minutes of platform/finding-the-exit buffer into Kyoto and Ikoma mornings.</x:v>
      </x:c>
      <x:c r="J14" s="42" t="str">
        <x:v>Travel rule of thumb
Treat listed commute times as planning ranges from Honmachi, including usual walks, transfers and waits—not live departure predictions. Build 10–15 minutes of platform/finding-the-exit buffer into Kyoto and Ikoma mornings.</x:v>
      </x:c>
      <x:c r="K14" s="3"/>
      <x:c r="L14" s="3"/>
      <x:c r="M14" s="3"/>
    </x:row>
    <x:row r="15" ht="32" customHeight="1">
      <x:c r="A15" s="51" t="str">
        <x:v>Trip total</x:v>
      </x:c>
      <x:c r="B15" s="39" t="n">
        <x:v>16729</x:v>
      </x:c>
      <x:c r="C15" s="48"/>
      <x:c r="D15" s="42" t="str">
        <x:v>Travel rule of thumb
Treat listed commute times as planning ranges from Honmachi, including usual walks, transfers and waits—not live departure predictions. Build 10–15 minutes of platform/finding-the-exit buffer into Kyoto and Ikoma mornings.</x:v>
      </x:c>
      <x:c r="E15" s="42" t="str">
        <x:v>Travel rule of thumb
Treat listed commute times as planning ranges from Honmachi, including usual walks, transfers and waits—not live departure predictions. Build 10–15 minutes of platform/finding-the-exit buffer into Kyoto and Ikoma mornings.</x:v>
      </x:c>
      <x:c r="F15" s="42" t="str">
        <x:v>Travel rule of thumb
Treat listed commute times as planning ranges from Honmachi, including usual walks, transfers and waits—not live departure predictions. Build 10–15 minutes of platform/finding-the-exit buffer into Kyoto and Ikoma mornings.</x:v>
      </x:c>
      <x:c r="G15" s="42" t="str">
        <x:v>Travel rule of thumb
Treat listed commute times as planning ranges from Honmachi, including usual walks, transfers and waits—not live departure predictions. Build 10–15 minutes of platform/finding-the-exit buffer into Kyoto and Ikoma mornings.</x:v>
      </x:c>
      <x:c r="H15" s="42" t="str">
        <x:v>Travel rule of thumb
Treat listed commute times as planning ranges from Honmachi, including usual walks, transfers and waits—not live departure predictions. Build 10–15 minutes of platform/finding-the-exit buffer into Kyoto and Ikoma mornings.</x:v>
      </x:c>
      <x:c r="I15" s="42" t="str">
        <x:v>Travel rule of thumb
Treat listed commute times as planning ranges from Honmachi, including usual walks, transfers and waits—not live departure predictions. Build 10–15 minutes of platform/finding-the-exit buffer into Kyoto and Ikoma mornings.</x:v>
      </x:c>
      <x:c r="J15" s="42" t="str">
        <x:v>Travel rule of thumb
Treat listed commute times as planning ranges from Honmachi, including usual walks, transfers and waits—not live departure predictions. Build 10–15 minutes of platform/finding-the-exit buffer into Kyoto and Ikoma mornings.</x:v>
      </x:c>
      <x:c r="K15" s="3"/>
      <x:c r="L15" s="3"/>
      <x:c r="M15" s="3"/>
    </x:row>
    <x:row r="16" ht="32" customHeight="1">
      <x:c r="A16" s="51" t="str">
        <x:v>Per night</x:v>
      </x:c>
      <x:c r="B16" s="39" t="n">
        <x:f>B15/4</x:f>
        <x:v>4182.25</x:v>
      </x:c>
      <x:c r="C16" s="48"/>
      <x:c r="D16" s="42" t="str">
        <x:v>Travel rule of thumb
Treat listed commute times as planning ranges from Honmachi, including usual walks, transfers and waits—not live departure predictions. Build 10–15 minutes of platform/finding-the-exit buffer into Kyoto and Ikoma mornings.</x:v>
      </x:c>
      <x:c r="E16" s="42" t="str">
        <x:v>Travel rule of thumb
Treat listed commute times as planning ranges from Honmachi, including usual walks, transfers and waits—not live departure predictions. Build 10–15 minutes of platform/finding-the-exit buffer into Kyoto and Ikoma mornings.</x:v>
      </x:c>
      <x:c r="F16" s="42" t="str">
        <x:v>Travel rule of thumb
Treat listed commute times as planning ranges from Honmachi, including usual walks, transfers and waits—not live departure predictions. Build 10–15 minutes of platform/finding-the-exit buffer into Kyoto and Ikoma mornings.</x:v>
      </x:c>
      <x:c r="G16" s="42" t="str">
        <x:v>Travel rule of thumb
Treat listed commute times as planning ranges from Honmachi, including usual walks, transfers and waits—not live departure predictions. Build 10–15 minutes of platform/finding-the-exit buffer into Kyoto and Ikoma mornings.</x:v>
      </x:c>
      <x:c r="H16" s="42" t="str">
        <x:v>Travel rule of thumb
Treat listed commute times as planning ranges from Honmachi, including usual walks, transfers and waits—not live departure predictions. Build 10–15 minutes of platform/finding-the-exit buffer into Kyoto and Ikoma mornings.</x:v>
      </x:c>
      <x:c r="I16" s="42" t="str">
        <x:v>Travel rule of thumb
Treat listed commute times as planning ranges from Honmachi, including usual walks, transfers and waits—not live departure predictions. Build 10–15 minutes of platform/finding-the-exit buffer into Kyoto and Ikoma mornings.</x:v>
      </x:c>
      <x:c r="J16" s="42" t="str">
        <x:v>Travel rule of thumb
Treat listed commute times as planning ranges from Honmachi, including usual walks, transfers and waits—not live departure predictions. Build 10–15 minutes of platform/finding-the-exit buffer into Kyoto and Ikoma mornings.</x:v>
      </x:c>
      <x:c r="K16" s="3"/>
      <x:c r="L16" s="3"/>
      <x:c r="M16" s="3"/>
    </x:row>
    <x:row r="17" ht="60" customHeight="1">
      <x:c r="A17" s="51" t="str">
        <x:v>Why</x:v>
      </x:c>
      <x:c r="B17" s="22" t="str">
        <x:v>Best balance of price, comfort and movement: direct Midosuji access to Shin-Osaka/Umeda/Namba, walkable to WAD and B.B.</x:v>
      </x:c>
      <x:c r="C17" s="48"/>
      <x:c r="D17" s="42" t="str">
        <x:v>Travel rule of thumb
Treat listed commute times as planning ranges from Honmachi, including usual walks, transfers and waits—not live departure predictions. Build 10–15 minutes of platform/finding-the-exit buffer into Kyoto and Ikoma mornings.</x:v>
      </x:c>
      <x:c r="E17" s="42" t="str">
        <x:v>Travel rule of thumb
Treat listed commute times as planning ranges from Honmachi, including usual walks, transfers and waits—not live departure predictions. Build 10–15 minutes of platform/finding-the-exit buffer into Kyoto and Ikoma mornings.</x:v>
      </x:c>
      <x:c r="F17" s="42" t="str">
        <x:v>Travel rule of thumb
Treat listed commute times as planning ranges from Honmachi, including usual walks, transfers and waits—not live departure predictions. Build 10–15 minutes of platform/finding-the-exit buffer into Kyoto and Ikoma mornings.</x:v>
      </x:c>
      <x:c r="G17" s="42" t="str">
        <x:v>Travel rule of thumb
Treat listed commute times as planning ranges from Honmachi, including usual walks, transfers and waits—not live departure predictions. Build 10–15 minutes of platform/finding-the-exit buffer into Kyoto and Ikoma mornings.</x:v>
      </x:c>
      <x:c r="H17" s="42" t="str">
        <x:v>Travel rule of thumb
Treat listed commute times as planning ranges from Honmachi, including usual walks, transfers and waits—not live departure predictions. Build 10–15 minutes of platform/finding-the-exit buffer into Kyoto and Ikoma mornings.</x:v>
      </x:c>
      <x:c r="I17" s="42" t="str">
        <x:v>Travel rule of thumb
Treat listed commute times as planning ranges from Honmachi, including usual walks, transfers and waits—not live departure predictions. Build 10–15 minutes of platform/finding-the-exit buffer into Kyoto and Ikoma mornings.</x:v>
      </x:c>
      <x:c r="J17" s="42" t="str">
        <x:v>Travel rule of thumb
Treat listed commute times as planning ranges from Honmachi, including usual walks, transfers and waits—not live departure predictions. Build 10–15 minutes of platform/finding-the-exit buffer into Kyoto and Ikoma mornings.</x:v>
      </x:c>
      <x:c r="K17" s="3"/>
      <x:c r="L17" s="3"/>
      <x:c r="M17" s="3"/>
    </x:row>
    <x:row r="18">
      <x:c r="A18" s="48"/>
      <x:c r="B18" s="48"/>
      <x:c r="C18" s="48"/>
      <x:c r="D18" s="48"/>
      <x:c r="E18" s="48"/>
      <x:c r="F18" s="48"/>
      <x:c r="G18" s="48"/>
      <x:c r="H18" s="48"/>
      <x:c r="I18" s="48"/>
      <x:c r="J18" s="48"/>
      <x:c r="K18" s="3"/>
      <x:c r="L18" s="3"/>
      <x:c r="M18" s="3"/>
    </x:row>
    <x:row r="19" ht="22" customHeight="1">
      <x:c r="A19" s="50" t="str">
        <x:v>Important caveats</x:v>
      </x:c>
      <x:c r="B19" s="50" t="str">
        <x:v>Important caveats</x:v>
      </x:c>
      <x:c r="C19" s="50" t="str">
        <x:v>Important caveats</x:v>
      </x:c>
      <x:c r="D19" s="50" t="str">
        <x:v>Important caveats</x:v>
      </x:c>
      <x:c r="E19" s="50" t="str">
        <x:v>Important caveats</x:v>
      </x:c>
      <x:c r="F19" s="50" t="str">
        <x:v>Important caveats</x:v>
      </x:c>
      <x:c r="G19" s="50" t="str">
        <x:v>Important caveats</x:v>
      </x:c>
      <x:c r="H19" s="50" t="str">
        <x:v>Important caveats</x:v>
      </x:c>
      <x:c r="I19" s="50" t="str">
        <x:v>Important caveats</x:v>
      </x:c>
      <x:c r="J19" s="50" t="str">
        <x:v>Important caveats</x:v>
      </x:c>
      <x:c r="K19" s="3"/>
      <x:c r="L19" s="3"/>
      <x:c r="M19" s="3"/>
    </x:row>
    <x:row r="20" ht="42" customHeight="1">
      <x:c r="A20" s="45" t="str">
        <x:v>23 Sep is a Japanese public holiday</x:v>
      </x:c>
      <x:c r="B20" s="45" t="str">
        <x:v>23 Sep is a Japanese public holiday</x:v>
      </x:c>
      <x:c r="C20" s="46" t="str">
        <x:v>Expect busy Tokyo–Osaka trains and central Osaka; reserve Shinkansen seats early.</x:v>
      </x:c>
      <x:c r="D20" s="46" t="str">
        <x:v>Expect busy Tokyo–Osaka trains and central Osaka; reserve Shinkansen seats early.</x:v>
      </x:c>
      <x:c r="E20" s="46" t="str">
        <x:v>Expect busy Tokyo–Osaka trains and central Osaka; reserve Shinkansen seats early.</x:v>
      </x:c>
      <x:c r="F20" s="46" t="str">
        <x:v>Expect busy Tokyo–Osaka trains and central Osaka; reserve Shinkansen seats early.</x:v>
      </x:c>
      <x:c r="G20" s="46" t="str">
        <x:v>Expect busy Tokyo–Osaka trains and central Osaka; reserve Shinkansen seats early.</x:v>
      </x:c>
      <x:c r="H20" s="46" t="str">
        <x:v>Expect busy Tokyo–Osaka trains and central Osaka; reserve Shinkansen seats early.</x:v>
      </x:c>
      <x:c r="I20" s="46" t="str">
        <x:v>Expect busy Tokyo–Osaka trains and central Osaka; reserve Shinkansen seats early.</x:v>
      </x:c>
      <x:c r="J20" s="46" t="str">
        <x:v>Expect busy Tokyo–Osaka trains and central Osaka; reserve Shinkansen seats early.</x:v>
      </x:c>
      <x:c r="K20" s="3"/>
      <x:c r="L20" s="3"/>
      <x:c r="M20" s="3"/>
    </x:row>
    <x:row r="21" ht="42" customHeight="1">
      <x:c r="A21" s="47" t="str">
        <x:v>September weather</x:v>
      </x:c>
      <x:c r="B21" s="47" t="str">
        <x:v>September weather</x:v>
      </x:c>
      <x:c r="C21" s="48" t="str">
        <x:v>JMA normals are hot and humid; late-season rain/typhoon disruption is possible. Carry water and a compact umbrella.</x:v>
      </x:c>
      <x:c r="D21" s="48" t="str">
        <x:v>JMA normals are hot and humid; late-season rain/typhoon disruption is possible. Carry water and a compact umbrella.</x:v>
      </x:c>
      <x:c r="E21" s="48" t="str">
        <x:v>JMA normals are hot and humid; late-season rain/typhoon disruption is possible. Carry water and a compact umbrella.</x:v>
      </x:c>
      <x:c r="F21" s="48" t="str">
        <x:v>JMA normals are hot and humid; late-season rain/typhoon disruption is possible. Carry water and a compact umbrella.</x:v>
      </x:c>
      <x:c r="G21" s="48" t="str">
        <x:v>JMA normals are hot and humid; late-season rain/typhoon disruption is possible. Carry water and a compact umbrella.</x:v>
      </x:c>
      <x:c r="H21" s="48" t="str">
        <x:v>JMA normals are hot and humid; late-season rain/typhoon disruption is possible. Carry water and a compact umbrella.</x:v>
      </x:c>
      <x:c r="I21" s="48" t="str">
        <x:v>JMA normals are hot and humid; late-season rain/typhoon disruption is possible. Carry water and a compact umbrella.</x:v>
      </x:c>
      <x:c r="J21" s="48" t="str">
        <x:v>JMA normals are hot and humid; late-season rain/typhoon disruption is possible. Carry water and a compact umbrella.</x:v>
      </x:c>
      <x:c r="K21" s="3"/>
      <x:c r="L21" s="3"/>
      <x:c r="M21" s="3"/>
    </x:row>
    <x:row r="22" ht="42" customHeight="1">
      <x:c r="A22" s="45" t="str">
        <x:v>Inoichi Hanare</x:v>
      </x:c>
      <x:c r="B22" s="45" t="str">
        <x:v>Inoichi Hanare</x:v>
      </x:c>
      <x:c r="C22" s="46" t="str">
        <x:v>No reservations. Collect a lunch ticket from 10:30; distribution may cap early. Return time can be later than opening and the whole party must return together.</x:v>
      </x:c>
      <x:c r="D22" s="46" t="str">
        <x:v>No reservations. Collect a lunch ticket from 10:30; distribution may cap early. Return time can be later than opening and the whole party must return together.</x:v>
      </x:c>
      <x:c r="E22" s="46" t="str">
        <x:v>No reservations. Collect a lunch ticket from 10:30; distribution may cap early. Return time can be later than opening and the whole party must return together.</x:v>
      </x:c>
      <x:c r="F22" s="46" t="str">
        <x:v>No reservations. Collect a lunch ticket from 10:30; distribution may cap early. Return time can be later than opening and the whole party must return together.</x:v>
      </x:c>
      <x:c r="G22" s="46" t="str">
        <x:v>No reservations. Collect a lunch ticket from 10:30; distribution may cap early. Return time can be later than opening and the whole party must return together.</x:v>
      </x:c>
      <x:c r="H22" s="46" t="str">
        <x:v>No reservations. Collect a lunch ticket from 10:30; distribution may cap early. Return time can be later than opening and the whole party must return together.</x:v>
      </x:c>
      <x:c r="I22" s="46" t="str">
        <x:v>No reservations. Collect a lunch ticket from 10:30; distribution may cap early. Return time can be later than opening and the whole party must return together.</x:v>
      </x:c>
      <x:c r="J22" s="46" t="str">
        <x:v>No reservations. Collect a lunch ticket from 10:30; distribution may cap early. Return time can be later than opening and the whole party must return together.</x:v>
      </x:c>
      <x:c r="K22" s="3"/>
      <x:c r="L22" s="3"/>
      <x:c r="M22" s="3"/>
    </x:row>
    <x:row r="23" ht="42" customHeight="1">
      <x:c r="A23" s="47" t="str">
        <x:v>Ikoma Sanjo</x:v>
      </x:c>
      <x:c r="B23" s="47" t="str">
        <x:v>Ikoma Sanjo</x:v>
      </x:c>
      <x:c r="C23" s="48" t="str">
        <x:v>Open Sat 26 Sep on the 2026 calendar. Rides may stop for rain/wind; Sky Cycle can queue or close before park closing.</x:v>
      </x:c>
      <x:c r="D23" s="48" t="str">
        <x:v>Open Sat 26 Sep on the 2026 calendar. Rides may stop for rain/wind; Sky Cycle can queue or close before park closing.</x:v>
      </x:c>
      <x:c r="E23" s="48" t="str">
        <x:v>Open Sat 26 Sep on the 2026 calendar. Rides may stop for rain/wind; Sky Cycle can queue or close before park closing.</x:v>
      </x:c>
      <x:c r="F23" s="48" t="str">
        <x:v>Open Sat 26 Sep on the 2026 calendar. Rides may stop for rain/wind; Sky Cycle can queue or close before park closing.</x:v>
      </x:c>
      <x:c r="G23" s="48" t="str">
        <x:v>Open Sat 26 Sep on the 2026 calendar. Rides may stop for rain/wind; Sky Cycle can queue or close before park closing.</x:v>
      </x:c>
      <x:c r="H23" s="48" t="str">
        <x:v>Open Sat 26 Sep on the 2026 calendar. Rides may stop for rain/wind; Sky Cycle can queue or close before park closing.</x:v>
      </x:c>
      <x:c r="I23" s="48" t="str">
        <x:v>Open Sat 26 Sep on the 2026 calendar. Rides may stop for rain/wind; Sky Cycle can queue or close before park closing.</x:v>
      </x:c>
      <x:c r="J23" s="48" t="str">
        <x:v>Open Sat 26 Sep on the 2026 calendar. Rides may stop for rain/wind; Sky Cycle can queue or close before park closing.</x:v>
      </x:c>
      <x:c r="K23" s="3"/>
      <x:c r="L23" s="3"/>
      <x:c r="M23" s="3"/>
    </x:row>
    <x:row r="24" ht="42" customHeight="1">
      <x:c r="A24" s="45" t="str">
        <x:v>Azuma House</x:v>
      </x:c>
      <x:c r="B24" s="45" t="str">
        <x:v>Azuma House</x:v>
      </x:c>
      <x:c r="C24" s="46" t="str">
        <x:v>Private occupied residence. Exterior observation only—quiet, discreet, and brief.</x:v>
      </x:c>
      <x:c r="D24" s="46" t="str">
        <x:v>Private occupied residence. Exterior observation only—quiet, discreet, and brief.</x:v>
      </x:c>
      <x:c r="E24" s="46" t="str">
        <x:v>Private occupied residence. Exterior observation only—quiet, discreet, and brief.</x:v>
      </x:c>
      <x:c r="F24" s="46" t="str">
        <x:v>Private occupied residence. Exterior observation only—quiet, discreet, and brief.</x:v>
      </x:c>
      <x:c r="G24" s="46" t="str">
        <x:v>Private occupied residence. Exterior observation only—quiet, discreet, and brief.</x:v>
      </x:c>
      <x:c r="H24" s="46" t="str">
        <x:v>Private occupied residence. Exterior observation only—quiet, discreet, and brief.</x:v>
      </x:c>
      <x:c r="I24" s="46" t="str">
        <x:v>Private occupied residence. Exterior observation only—quiet, discreet, and brief.</x:v>
      </x:c>
      <x:c r="J24" s="46" t="str">
        <x:v>Private occupied residence. Exterior observation only—quiet, discreet, and brief.</x:v>
      </x:c>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sheetData>
  <x:mergeCells>
    <x:mergeCell ref="A1:J2"/>
    <x:mergeCell ref="A3:J3"/>
    <x:mergeCell ref="A5:J5"/>
    <x:mergeCell ref="A12:J12"/>
    <x:mergeCell ref="D13:J17"/>
    <x:mergeCell ref="A19:J19"/>
    <x:mergeCell ref="A20:B20"/>
    <x:mergeCell ref="C20:J20"/>
    <x:mergeCell ref="A21:B21"/>
    <x:mergeCell ref="C21:J21"/>
    <x:mergeCell ref="A22:B22"/>
    <x:mergeCell ref="C22:J22"/>
    <x:mergeCell ref="A23:B23"/>
    <x:mergeCell ref="C23:J23"/>
    <x:mergeCell ref="A24:B24"/>
    <x:mergeCell ref="C24:J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22" hidden="0" customWidth="1"/>
    <x:col min="4" max="4" width="24" hidden="0" customWidth="1"/>
    <x:col min="5" max="5" width="14" hidden="0" customWidth="1"/>
    <x:col min="6" max="6" width="14" hidden="0" customWidth="1"/>
    <x:col min="7" max="7" width="22" hidden="0" customWidth="1"/>
    <x:col min="8" max="8" width="38" hidden="0" customWidth="1"/>
    <x:col min="9" max="9" width="32" hidden="0" customWidth="1"/>
    <x:col min="10" max="10" width="27" hidden="0" customWidth="1"/>
    <x:col min="11" max="11" width="15" hidden="0" customWidth="1"/>
    <x:col min="12" max="12" width="24" hidden="0" customWidth="1"/>
    <x:col min="13" max="13" width="14" hidden="0" customWidth="1"/>
  </x:cols>
  <x:sheetData>
    <x:row r="1" ht="32" customHeight="1">
      <x:c r="A1" s="49" t="str">
        <x:v>Thursday · 24 September · Kyoto</x:v>
      </x:c>
      <x:c r="B1" s="49" t="str">
        <x:v>Thursday · 24 September · Kyoto</x:v>
      </x:c>
      <x:c r="C1" s="49" t="str">
        <x:v>Thursday · 24 September · Kyoto</x:v>
      </x:c>
      <x:c r="D1" s="49" t="str">
        <x:v>Thursday · 24 September · Kyoto</x:v>
      </x:c>
      <x:c r="E1" s="49" t="str">
        <x:v>Thursday · 24 September · Kyoto</x:v>
      </x:c>
      <x:c r="F1" s="49" t="str">
        <x:v>Thursday · 24 September · Kyoto</x:v>
      </x:c>
      <x:c r="G1" s="49" t="str">
        <x:v>Thursday · 24 September · Kyoto</x:v>
      </x:c>
      <x:c r="H1" s="49" t="str">
        <x:v>Thursday · 24 September · Kyoto</x:v>
      </x:c>
      <x:c r="I1" s="49" t="str">
        <x:v>Thursday · 24 September · Kyoto</x:v>
      </x:c>
      <x:c r="J1" s="49" t="str">
        <x:v>Thursday · 24 September · Kyoto</x:v>
      </x:c>
      <x:c r="K1" s="49" t="str">
        <x:v>Thursday · 24 September · Kyoto</x:v>
      </x:c>
      <x:c r="L1" s="49" t="str">
        <x:v>Thursday · 24 September · Kyoto</x:v>
      </x:c>
      <x:c r="M1" s="49" t="str">
        <x:v>Thursday · 24 September · Kyoto</x:v>
      </x:c>
    </x:row>
    <x:row r="2" ht="32" customHeight="1">
      <x:c r="A2" s="49" t="str">
        <x:v>Thursday · 24 September · Kyoto</x:v>
      </x:c>
      <x:c r="B2" s="49" t="str">
        <x:v>Thursday · 24 September · Kyoto</x:v>
      </x:c>
      <x:c r="C2" s="49" t="str">
        <x:v>Thursday · 24 September · Kyoto</x:v>
      </x:c>
      <x:c r="D2" s="49" t="str">
        <x:v>Thursday · 24 September · Kyoto</x:v>
      </x:c>
      <x:c r="E2" s="49" t="str">
        <x:v>Thursday · 24 September · Kyoto</x:v>
      </x:c>
      <x:c r="F2" s="49" t="str">
        <x:v>Thursday · 24 September · Kyoto</x:v>
      </x:c>
      <x:c r="G2" s="49" t="str">
        <x:v>Thursday · 24 September · Kyoto</x:v>
      </x:c>
      <x:c r="H2" s="49" t="str">
        <x:v>Thursday · 24 September · Kyoto</x:v>
      </x:c>
      <x:c r="I2" s="49" t="str">
        <x:v>Thursday · 24 September · Kyoto</x:v>
      </x:c>
      <x:c r="J2" s="49" t="str">
        <x:v>Thursday · 24 September · Kyoto</x:v>
      </x:c>
      <x:c r="K2" s="49" t="str">
        <x:v>Thursday · 24 September · Kyoto</x:v>
      </x:c>
      <x:c r="L2" s="49" t="str">
        <x:v>Thursday · 24 September · Kyoto</x:v>
      </x:c>
      <x:c r="M2" s="49" t="str">
        <x:v>Thursday · 24 September · Kyoto</x:v>
      </x:c>
    </x:row>
    <x:row r="3" ht="28" customHeight="1">
      <x:c r="A3" s="10" t="str">
        <x:v>One true queue anchor, then a flexible architecture afternoon. Do not add a second reservation.</x:v>
      </x:c>
      <x:c r="B3" s="10" t="str">
        <x:v>One true queue anchor, then a flexible architecture afternoon. Do not add a second reservation.</x:v>
      </x:c>
      <x:c r="C3" s="10" t="str">
        <x:v>One true queue anchor, then a flexible architecture afternoon. Do not add a second reservation.</x:v>
      </x:c>
      <x:c r="D3" s="10" t="str">
        <x:v>One true queue anchor, then a flexible architecture afternoon. Do not add a second reservation.</x:v>
      </x:c>
      <x:c r="E3" s="10" t="str">
        <x:v>One true queue anchor, then a flexible architecture afternoon. Do not add a second reservation.</x:v>
      </x:c>
      <x:c r="F3" s="10" t="str">
        <x:v>One true queue anchor, then a flexible architecture afternoon. Do not add a second reservation.</x:v>
      </x:c>
      <x:c r="G3" s="10" t="str">
        <x:v>One true queue anchor, then a flexible architecture afternoon. Do not add a second reservation.</x:v>
      </x:c>
      <x:c r="H3" s="10" t="str">
        <x:v>One true queue anchor, then a flexible architecture afternoon. Do not add a second reservation.</x:v>
      </x:c>
      <x:c r="I3" s="10" t="str">
        <x:v>One true queue anchor, then a flexible architecture afternoon. Do not add a second reservation.</x:v>
      </x:c>
      <x:c r="J3" s="10" t="str">
        <x:v>One true queue anchor, then a flexible architecture afternoon. Do not add a second reservation.</x:v>
      </x:c>
      <x:c r="K3" s="10" t="str">
        <x:v>One true queue anchor, then a flexible architecture afternoon. Do not add a second reservation.</x:v>
      </x:c>
      <x:c r="L3" s="10" t="str">
        <x:v>One true queue anchor, then a flexible architecture afternoon. Do not add a second reservation.</x:v>
      </x:c>
      <x:c r="M3" s="10" t="str">
        <x:v>One true queue anchor, then a flexible architecture afternoon. Do not add a second reservation.</x:v>
      </x:c>
    </x:row>
    <x:row r="4">
      <x:c r="A4" s="48"/>
      <x:c r="B4" s="48"/>
      <x:c r="C4" s="48"/>
      <x:c r="D4" s="48"/>
      <x:c r="E4" s="48"/>
      <x:c r="F4" s="48"/>
      <x:c r="G4" s="48"/>
      <x:c r="H4" s="48"/>
      <x:c r="I4" s="48"/>
      <x:c r="J4" s="48"/>
      <x:c r="K4" s="48"/>
      <x:c r="L4" s="48"/>
      <x:c r="M4" s="48"/>
    </x:row>
    <x:row r="5" ht="30" customHeight="1">
      <x:c r="A5" s="16" t="str">
        <x:v>Start</x:v>
      </x:c>
      <x:c r="B5" s="16" t="str">
        <x:v>End</x:v>
      </x:c>
      <x:c r="C5" s="16" t="str">
        <x:v>Block</x:v>
      </x:c>
      <x:c r="D5" s="16" t="str">
        <x:v>Location</x:v>
      </x:c>
      <x:c r="E5" s="16" t="str">
        <x:v>Type</x:v>
      </x:c>
      <x:c r="F5" s="16" t="str">
        <x:v>Time-sensitive?</x:v>
      </x:c>
      <x:c r="G5" s="16" t="str">
        <x:v>Transit / duration</x:v>
      </x:c>
      <x:c r="H5" s="16" t="str">
        <x:v>Plan</x:v>
      </x:c>
      <x:c r="I5" s="16" t="str">
        <x:v>Backup / flex</x:v>
      </x:c>
      <x:c r="J5" s="16" t="str">
        <x:v>Booking or ticket</x:v>
      </x:c>
      <x:c r="K5" s="16" t="str">
        <x:v>Est. cost (2)</x:v>
      </x:c>
      <x:c r="L5" s="16" t="str">
        <x:v>Source</x:v>
      </x:c>
      <x:c r="M5" s="16" t="str">
        <x:v>Status</x:v>
      </x:c>
    </x:row>
    <x:row r="6" ht="52" customHeight="1">
      <x:c r="A6" s="27" t="str">
        <x:v>08:55</x:v>
      </x:c>
      <x:c r="B6" s="27" t="str">
        <x:v>10:05</x:v>
      </x:c>
      <x:c r="C6" s="23" t="str">
        <x:v>Honmachi → Kyoto</x:v>
      </x:c>
      <x:c r="D6" s="23" t="str">
        <x:v>Honmachi to Shijo/Karasuma</x:v>
      </x:c>
      <x:c r="E6" s="23" t="str">
        <x:v>Transit</x:v>
      </x:c>
      <x:c r="F6" s="54" t="str">
        <x:v>No</x:v>
      </x:c>
      <x:c r="G6" s="23" t="str">
        <x:v>60–70 min</x:v>
      </x:c>
      <x:c r="H6" s="23" t="str">
        <x:v>Leave with 15 minutes of ticket-buffer built in.</x:v>
      </x:c>
      <x:c r="I6" s="23" t="str">
        <x:v>If trains disrupt, go straight to Inoichi and drop the garden.</x:v>
      </x:c>
      <x:c r="J6" s="23" t="str">
        <x:v>IC card; no reservation</x:v>
      </x:c>
      <x:c r="K6" s="56" t="n">
        <x:v>2200</x:v>
      </x:c>
      <x:c r="L6" s="23" t="str">
        <x:v>https://maps.google.com/?q=Honmachi+to+Inoichi+Hanare</x:v>
      </x:c>
      <x:c r="M6" s="23" t="str">
        <x:v>Planned</x:v>
      </x:c>
    </x:row>
    <x:row r="7" ht="52" customHeight="1">
      <x:c r="A7" s="26" t="str">
        <x:v>10:10</x:v>
      </x:c>
      <x:c r="B7" s="26" t="str">
        <x:v>10:30</x:v>
      </x:c>
      <x:c r="C7" s="19" t="str">
        <x:v>Walk + queue</x:v>
      </x:c>
      <x:c r="D7" s="19" t="str">
        <x:v>Inoichi Hanare</x:v>
      </x:c>
      <x:c r="E7" s="19" t="str">
        <x:v>Queue</x:v>
      </x:c>
      <x:c r="F7" s="55" t="str">
        <x:v>Yes</x:v>
      </x:c>
      <x:c r="G7" s="19" t="str">
        <x:v>10–20 min</x:v>
      </x:c>
      <x:c r="H7" s="19" t="str">
        <x:v>Both travellers join the ticket queue. Collect the assigned return time.</x:v>
      </x:c>
      <x:c r="I7" s="19" t="str">
        <x:v>If distribution is capped, use nearby backup lunch and keep Garden.</x:v>
      </x:c>
      <x:c r="J7" s="19" t="str">
        <x:v>Tickets begin 10:30; no reservations</x:v>
      </x:c>
      <x:c r="K7" s="57" t="n">
        <x:v>0</x:v>
      </x:c>
      <x:c r="L7" s="19" t="str">
        <x:v>https://menyainoichi.net/about</x:v>
      </x:c>
      <x:c r="M7" s="19" t="str">
        <x:v>Planned</x:v>
      </x:c>
    </x:row>
    <x:row r="8" ht="52" customHeight="1">
      <x:c r="A8" s="27" t="str">
        <x:v>10:30</x:v>
      </x:c>
      <x:c r="B8" s="27" t="str">
        <x:v>Return time</x:v>
      </x:c>
      <x:c r="C8" s="23" t="str">
        <x:v>Open flex block</x:v>
      </x:c>
      <x:c r="D8" s="23" t="str">
        <x:v>Karasuma / Shijo</x:v>
      </x:c>
      <x:c r="E8" s="23" t="str">
        <x:v>Flex</x:v>
      </x:c>
      <x:c r="F8" s="54" t="str">
        <x:v>No</x:v>
      </x:c>
      <x:c r="G8" s="23" t="str">
        <x:v>Variable</x:v>
      </x:c>
      <x:c r="H8" s="23" t="str">
        <x:v>Coffee, stationery or a gentle walk. Stay close enough to return on time.</x:v>
      </x:c>
      <x:c r="I8" s="23" t="str">
        <x:v>If return is immediate, eat first and use this flex later.</x:v>
      </x:c>
      <x:c r="J8" s="23" t="str">
        <x:v>Return together; late arrival may invalidate ticket</x:v>
      </x:c>
      <x:c r="K8" s="56" t="n">
        <x:v>1000</x:v>
      </x:c>
      <x:c r="L8" s="23" t="str">
        <x:v>https://menyainoichi.net/news/663335b9c7a87201ab8228cf</x:v>
      </x:c>
      <x:c r="M8" s="23" t="str">
        <x:v>Planned</x:v>
      </x:c>
    </x:row>
    <x:row r="9" ht="52" customHeight="1">
      <x:c r="A9" s="26" t="str">
        <x:v>Return time</x:v>
      </x:c>
      <x:c r="B9" s="26" t="str">
        <x:v>+75 min</x:v>
      </x:c>
      <x:c r="C9" s="19" t="str">
        <x:v>Lunch</x:v>
      </x:c>
      <x:c r="D9" s="19" t="str">
        <x:v>Inoichi Hanare</x:v>
      </x:c>
      <x:c r="E9" s="19" t="str">
        <x:v>Food</x:v>
      </x:c>
      <x:c r="F9" s="55" t="str">
        <x:v>No</x:v>
      </x:c>
      <x:c r="G9" s="19" t="str">
        <x:v>60–75 min</x:v>
      </x:c>
      <x:c r="H9" s="19" t="str">
        <x:v>Bib Gourmand ramen lunch; base bowls are roughly ¥1,400 each.</x:v>
      </x:c>
      <x:c r="I9" s="19" t="str">
        <x:v>Backup: nearby udon/soba; avoid turning the day into a restaurant chase.</x:v>
      </x:c>
      <x:c r="J9" s="19" t="str">
        <x:v>Pay on site</x:v>
      </x:c>
      <x:c r="K9" s="57" t="n">
        <x:v>3200</x:v>
      </x:c>
      <x:c r="L9" s="19" t="str">
        <x:v>https://menyainoichi.net/news/645a5ff1d5cfeb003705f7c1</x:v>
      </x:c>
      <x:c r="M9" s="19" t="str">
        <x:v>Planned</x:v>
      </x:c>
    </x:row>
    <x:row r="10" ht="52" customHeight="1">
      <x:c r="A10" s="27" t="str">
        <x:v>13:30</x:v>
      </x:c>
      <x:c r="B10" s="27" t="str">
        <x:v>15:00</x:v>
      </x:c>
      <x:c r="C10" s="23" t="str">
        <x:v>Travel + visit</x:v>
      </x:c>
      <x:c r="D10" s="23" t="str">
        <x:v>Garden of Fine Arts Kyoto</x:v>
      </x:c>
      <x:c r="E10" s="23" t="str">
        <x:v>Architecture</x:v>
      </x:c>
      <x:c r="F10" s="54" t="str">
        <x:v>No</x:v>
      </x:c>
      <x:c r="G10" s="23" t="str">
        <x:v>25–30 min from Inoichi; 60–75 min visit</x:v>
      </x:c>
      <x:c r="H10" s="23" t="str">
        <x:v>Outdoor Tadao Ando garden and ceramic reproductions. Last entry 16:30.</x:v>
      </x:c>
      <x:c r="I10" s="23" t="str">
        <x:v>Heavy rain: replace with an indoor design/café block in central Kyoto.</x:v>
      </x:c>
      <x:c r="J10" s="23" t="str">
        <x:v>No appointment; ¥200 pp</x:v>
      </x:c>
      <x:c r="K10" s="56" t="n">
        <x:v>400</x:v>
      </x:c>
      <x:c r="L10" s="23" t="str">
        <x:v>https://kyoto-toban-hp.or.jp/%E5%BA%AD%E5%9C%92%E3%81%AB%E3%81%A4%E3%81%84%E3%81%A6/</x:v>
      </x:c>
      <x:c r="M10" s="23" t="str">
        <x:v>Planned</x:v>
      </x:c>
    </x:row>
    <x:row r="11" ht="52" customHeight="1">
      <x:c r="A11" s="26" t="str">
        <x:v>15:00</x:v>
      </x:c>
      <x:c r="B11" s="26" t="str">
        <x:v>16:30</x:v>
      </x:c>
      <x:c r="C11" s="19" t="str">
        <x:v>Unscheduled Kyoto</x:v>
      </x:c>
      <x:c r="D11" s="19" t="str">
        <x:v>Kitayama or central Kyoto</x:v>
      </x:c>
      <x:c r="E11" s="19" t="str">
        <x:v>Flex</x:v>
      </x:c>
      <x:c r="F11" s="55" t="str">
        <x:v>No</x:v>
      </x:c>
      <x:c r="G11" s="19" t="str">
        <x:v>Open</x:v>
      </x:c>
      <x:c r="H11" s="19" t="str">
        <x:v>Stop when energy dips. This is deliberately not another attraction.</x:v>
      </x:c>
      <x:c r="I11" s="19" t="str">
        <x:v>Head back to Osaka early.</x:v>
      </x:c>
      <x:c r="J11" s="19" t="str">
        <x:v>None</x:v>
      </x:c>
      <x:c r="K11" s="57" t="n">
        <x:v>0</x:v>
      </x:c>
      <x:c r="L11" s="19" t="str"/>
      <x:c r="M11" s="19" t="str">
        <x:v>Optional</x:v>
      </x:c>
    </x:row>
    <x:row r="12" ht="52" customHeight="1">
      <x:c r="A12" s="27" t="str">
        <x:v>16:30</x:v>
      </x:c>
      <x:c r="B12" s="27" t="str">
        <x:v>18:00</x:v>
      </x:c>
      <x:c r="C12" s="23" t="str">
        <x:v>Return</x:v>
      </x:c>
      <x:c r="D12" s="23" t="str">
        <x:v>Kyoto → Honmachi</x:v>
      </x:c>
      <x:c r="E12" s="23" t="str">
        <x:v>Transit</x:v>
      </x:c>
      <x:c r="F12" s="54" t="str">
        <x:v>No</x:v>
      </x:c>
      <x:c r="G12" s="23" t="str">
        <x:v>75–90 min</x:v>
      </x:c>
      <x:c r="H12" s="23" t="str">
        <x:v>Return before the evening peak if possible; dinner near the stay.</x:v>
      </x:c>
      <x:c r="I12" s="23" t="str">
        <x:v>Later return is fine if the garden order shifts.</x:v>
      </x:c>
      <x:c r="J12" s="23" t="str">
        <x:v>IC card</x:v>
      </x:c>
      <x:c r="K12" s="56" t="n">
        <x:v>2200</x:v>
      </x:c>
      <x:c r="L12" s="23" t="str">
        <x:v>https://maps.google.com/?q=Garden+of+Fine+Arts+Kyoto+to+Honmachi</x:v>
      </x:c>
      <x:c r="M12" s="23" t="str">
        <x:v>Planned</x:v>
      </x:c>
    </x:row>
    <x:row r="13">
      <x:c r="A13" s="48"/>
      <x:c r="B13" s="48"/>
      <x:c r="C13" s="48"/>
      <x:c r="D13" s="48"/>
      <x:c r="E13" s="48"/>
      <x:c r="F13" s="48"/>
      <x:c r="G13" s="48"/>
      <x:c r="H13" s="48"/>
      <x:c r="I13" s="48"/>
      <x:c r="J13" s="48"/>
      <x:c r="K13" s="48"/>
      <x:c r="L13" s="48"/>
      <x:c r="M13" s="48"/>
    </x:row>
    <x:row r="14" ht="22" customHeight="1">
      <x:c r="A14" s="50" t="str">
        <x:v>Ground reality / day rule</x:v>
      </x:c>
      <x:c r="B14" s="50" t="str">
        <x:v>Ground reality / day rule</x:v>
      </x:c>
      <x:c r="C14" s="50" t="str">
        <x:v>Ground reality / day rule</x:v>
      </x:c>
      <x:c r="D14" s="50" t="str">
        <x:v>Ground reality / day rule</x:v>
      </x:c>
      <x:c r="E14" s="50" t="str">
        <x:v>Ground reality / day rule</x:v>
      </x:c>
      <x:c r="F14" s="50" t="str">
        <x:v>Ground reality / day rule</x:v>
      </x:c>
      <x:c r="G14" s="50" t="str">
        <x:v>Ground reality / day rule</x:v>
      </x:c>
      <x:c r="H14" s="50" t="str">
        <x:v>Ground reality / day rule</x:v>
      </x:c>
      <x:c r="I14" s="50" t="str">
        <x:v>Ground reality / day rule</x:v>
      </x:c>
      <x:c r="J14" s="50" t="str">
        <x:v>Ground reality / day rule</x:v>
      </x:c>
      <x:c r="K14" s="50" t="str">
        <x:v>Ground reality / day rule</x:v>
      </x:c>
      <x:c r="L14" s="50" t="str">
        <x:v>Ground reality / day rule</x:v>
      </x:c>
      <x:c r="M14" s="50" t="str">
        <x:v>Ground reality / day rule</x:v>
      </x:c>
    </x:row>
    <x:row r="15" ht="40" customHeight="1">
      <x:c r="A15" s="64" t="str">
        <x:v>Inoichi controls the day: collect the 10:30 ticket, photograph the return time, and let that decide whether the Garden comes before or after lunch. Garden is outdoors and closes at 17:00 (last entry 16:30).</x:v>
      </x:c>
      <x:c r="B15" s="65" t="str">
        <x:v>Inoichi controls the day: collect the 10:30 ticket, photograph the return time, and let that decide whether the Garden comes before or after lunch. Garden is outdoors and closes at 17:00 (last entry 16:30).</x:v>
      </x:c>
      <x:c r="C15" s="65" t="str">
        <x:v>Inoichi controls the day: collect the 10:30 ticket, photograph the return time, and let that decide whether the Garden comes before or after lunch. Garden is outdoors and closes at 17:00 (last entry 16:30).</x:v>
      </x:c>
      <x:c r="D15" s="65" t="str">
        <x:v>Inoichi controls the day: collect the 10:30 ticket, photograph the return time, and let that decide whether the Garden comes before or after lunch. Garden is outdoors and closes at 17:00 (last entry 16:30).</x:v>
      </x:c>
      <x:c r="E15" s="65" t="str">
        <x:v>Inoichi controls the day: collect the 10:30 ticket, photograph the return time, and let that decide whether the Garden comes before or after lunch. Garden is outdoors and closes at 17:00 (last entry 16:30).</x:v>
      </x:c>
      <x:c r="F15" s="65" t="str">
        <x:v>Inoichi controls the day: collect the 10:30 ticket, photograph the return time, and let that decide whether the Garden comes before or after lunch. Garden is outdoors and closes at 17:00 (last entry 16:30).</x:v>
      </x:c>
      <x:c r="G15" s="65" t="str">
        <x:v>Inoichi controls the day: collect the 10:30 ticket, photograph the return time, and let that decide whether the Garden comes before or after lunch. Garden is outdoors and closes at 17:00 (last entry 16:30).</x:v>
      </x:c>
      <x:c r="H15" s="65" t="str">
        <x:v>Inoichi controls the day: collect the 10:30 ticket, photograph the return time, and let that decide whether the Garden comes before or after lunch. Garden is outdoors and closes at 17:00 (last entry 16:30).</x:v>
      </x:c>
      <x:c r="I15" s="65" t="str">
        <x:v>Inoichi controls the day: collect the 10:30 ticket, photograph the return time, and let that decide whether the Garden comes before or after lunch. Garden is outdoors and closes at 17:00 (last entry 16:30).</x:v>
      </x:c>
      <x:c r="J15" s="65" t="str">
        <x:v>Inoichi controls the day: collect the 10:30 ticket, photograph the return time, and let that decide whether the Garden comes before or after lunch. Garden is outdoors and closes at 17:00 (last entry 16:30).</x:v>
      </x:c>
      <x:c r="K15" s="65" t="str">
        <x:v>Inoichi controls the day: collect the 10:30 ticket, photograph the return time, and let that decide whether the Garden comes before or after lunch. Garden is outdoors and closes at 17:00 (last entry 16:30).</x:v>
      </x:c>
      <x:c r="L15" s="65" t="str">
        <x:v>Inoichi controls the day: collect the 10:30 ticket, photograph the return time, and let that decide whether the Garden comes before or after lunch. Garden is outdoors and closes at 17:00 (last entry 16:30).</x:v>
      </x:c>
      <x:c r="M15" s="66" t="str">
        <x:v>Inoichi controls the day: collect the 10:30 ticket, photograph the return time, and let that decide whether the Garden comes before or after lunch. Garden is outdoors and closes at 17:00 (last entry 16:30).</x:v>
      </x:c>
    </x:row>
    <x:row r="16" ht="40" customHeight="1">
      <x:c r="A16" s="67" t="str">
        <x:v>Inoichi controls the day: collect the 10:30 ticket, photograph the return time, and let that decide whether the Garden comes before or after lunch. Garden is outdoors and closes at 17:00 (last entry 16:30).</x:v>
      </x:c>
      <x:c r="B16" s="68" t="str">
        <x:v>Inoichi controls the day: collect the 10:30 ticket, photograph the return time, and let that decide whether the Garden comes before or after lunch. Garden is outdoors and closes at 17:00 (last entry 16:30).</x:v>
      </x:c>
      <x:c r="C16" s="68" t="str">
        <x:v>Inoichi controls the day: collect the 10:30 ticket, photograph the return time, and let that decide whether the Garden comes before or after lunch. Garden is outdoors and closes at 17:00 (last entry 16:30).</x:v>
      </x:c>
      <x:c r="D16" s="68" t="str">
        <x:v>Inoichi controls the day: collect the 10:30 ticket, photograph the return time, and let that decide whether the Garden comes before or after lunch. Garden is outdoors and closes at 17:00 (last entry 16:30).</x:v>
      </x:c>
      <x:c r="E16" s="68" t="str">
        <x:v>Inoichi controls the day: collect the 10:30 ticket, photograph the return time, and let that decide whether the Garden comes before or after lunch. Garden is outdoors and closes at 17:00 (last entry 16:30).</x:v>
      </x:c>
      <x:c r="F16" s="68" t="str">
        <x:v>Inoichi controls the day: collect the 10:30 ticket, photograph the return time, and let that decide whether the Garden comes before or after lunch. Garden is outdoors and closes at 17:00 (last entry 16:30).</x:v>
      </x:c>
      <x:c r="G16" s="68" t="str">
        <x:v>Inoichi controls the day: collect the 10:30 ticket, photograph the return time, and let that decide whether the Garden comes before or after lunch. Garden is outdoors and closes at 17:00 (last entry 16:30).</x:v>
      </x:c>
      <x:c r="H16" s="68" t="str">
        <x:v>Inoichi controls the day: collect the 10:30 ticket, photograph the return time, and let that decide whether the Garden comes before or after lunch. Garden is outdoors and closes at 17:00 (last entry 16:30).</x:v>
      </x:c>
      <x:c r="I16" s="68" t="str">
        <x:v>Inoichi controls the day: collect the 10:30 ticket, photograph the return time, and let that decide whether the Garden comes before or after lunch. Garden is outdoors and closes at 17:00 (last entry 16:30).</x:v>
      </x:c>
      <x:c r="J16" s="68" t="str">
        <x:v>Inoichi controls the day: collect the 10:30 ticket, photograph the return time, and let that decide whether the Garden comes before or after lunch. Garden is outdoors and closes at 17:00 (last entry 16:30).</x:v>
      </x:c>
      <x:c r="K16" s="68" t="str">
        <x:v>Inoichi controls the day: collect the 10:30 ticket, photograph the return time, and let that decide whether the Garden comes before or after lunch. Garden is outdoors and closes at 17:00 (last entry 16:30).</x:v>
      </x:c>
      <x:c r="L16" s="68" t="str">
        <x:v>Inoichi controls the day: collect the 10:30 ticket, photograph the return time, and let that decide whether the Garden comes before or after lunch. Garden is outdoors and closes at 17:00 (last entry 16:30).</x:v>
      </x:c>
      <x:c r="M16" s="69" t="str">
        <x:v>Inoichi controls the day: collect the 10:30 ticket, photograph the return time, and let that decide whether the Garden comes before or after lunch. Garden is outdoors and closes at 17:00 (last entry 16:30).</x:v>
      </x:c>
    </x:row>
    <x:row r="17">
      <x:c r="A17" s="3"/>
      <x:c r="B17" s="3"/>
      <x:c r="C17" s="3"/>
      <x:c r="D17" s="3"/>
      <x:c r="E17" s="3"/>
      <x:c r="F17" s="3"/>
      <x:c r="G17" s="3"/>
      <x:c r="H17" s="3"/>
      <x:c r="I17" s="3"/>
      <x:c r="J17" s="3"/>
      <x:c r="K17" s="3"/>
      <x:c r="L17" s="3"/>
      <x:c r="M17" s="3"/>
    </x:row>
    <x:row r="18">
      <x:c r="A18" s="3"/>
      <x:c r="B18" s="3"/>
      <x:c r="C18" s="3"/>
      <x:c r="D18" s="3"/>
      <x:c r="E18" s="3"/>
      <x:c r="F18" s="3"/>
      <x:c r="G18" s="3"/>
      <x:c r="H18" s="3"/>
      <x:c r="I18" s="3"/>
      <x:c r="J18" s="3"/>
      <x:c r="K18" s="3"/>
      <x:c r="L18" s="3"/>
      <x:c r="M18" s="3"/>
    </x:row>
    <x:row r="19">
      <x:c r="A19" s="3"/>
      <x:c r="B19" s="3"/>
      <x:c r="C19" s="3"/>
      <x:c r="D19" s="3"/>
      <x:c r="E19" s="3"/>
      <x:c r="F19" s="3"/>
      <x:c r="G19" s="3"/>
      <x:c r="H19" s="3"/>
      <x:c r="I19" s="3"/>
      <x:c r="J19" s="3"/>
      <x:c r="K19" s="3"/>
      <x:c r="L19" s="3"/>
      <x:c r="M19" s="3"/>
    </x:row>
    <x:row r="20">
      <x:c r="A20" s="3"/>
      <x:c r="B20" s="3"/>
      <x:c r="C20" s="3"/>
      <x:c r="D20" s="3"/>
      <x:c r="E20" s="3"/>
      <x:c r="F20" s="3"/>
      <x:c r="G20" s="3"/>
      <x:c r="H20" s="3"/>
      <x:c r="I20" s="3"/>
      <x:c r="J20" s="3"/>
      <x:c r="K20" s="3"/>
      <x:c r="L20" s="3"/>
      <x:c r="M20" s="3"/>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sheetData>
  <x:mergeCells>
    <x:mergeCell ref="A1:M2"/>
    <x:mergeCell ref="A3:M3"/>
    <x:mergeCell ref="A14:M14"/>
    <x:mergeCell ref="A15:M16"/>
  </x:mergeCells>
  <x:conditionalFormatting sqref="M6:M12">
    <x:cfRule type="containsText" dxfId="0" priority="1" operator="containsText" text="Planned"/>
    <x:cfRule type="containsText" dxfId="1" priority="2" operator="containsText" text="Optional"/>
    <x:cfRule type="containsText" dxfId="2" priority="3" operator="containsText" text="Backup"/>
  </x:conditionalFormatting>
  <x:dataValidations count="1">
    <x:dataValidation type="list" sqref="M6:M12">
      <x:formula1>"Planned,Optional,Backup,Done,Skipped"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22" hidden="0" customWidth="1"/>
    <x:col min="4" max="4" width="24" hidden="0" customWidth="1"/>
    <x:col min="5" max="5" width="14" hidden="0" customWidth="1"/>
    <x:col min="6" max="6" width="14" hidden="0" customWidth="1"/>
    <x:col min="7" max="7" width="22" hidden="0" customWidth="1"/>
    <x:col min="8" max="8" width="38" hidden="0" customWidth="1"/>
    <x:col min="9" max="9" width="32" hidden="0" customWidth="1"/>
    <x:col min="10" max="10" width="27" hidden="0" customWidth="1"/>
    <x:col min="11" max="11" width="15" hidden="0" customWidth="1"/>
    <x:col min="12" max="12" width="24" hidden="0" customWidth="1"/>
    <x:col min="13" max="13" width="14" hidden="0" customWidth="1"/>
  </x:cols>
  <x:sheetData>
    <x:row r="1" ht="32" customHeight="1">
      <x:c r="A1" s="49" t="str">
        <x:v>Friday · 25 September · Osaka south + central</x:v>
      </x:c>
      <x:c r="B1" s="49" t="str">
        <x:v>Friday · 25 September · Osaka south + central</x:v>
      </x:c>
      <x:c r="C1" s="49" t="str">
        <x:v>Friday · 25 September · Osaka south + central</x:v>
      </x:c>
      <x:c r="D1" s="49" t="str">
        <x:v>Friday · 25 September · Osaka south + central</x:v>
      </x:c>
      <x:c r="E1" s="49" t="str">
        <x:v>Friday · 25 September · Osaka south + central</x:v>
      </x:c>
      <x:c r="F1" s="49" t="str">
        <x:v>Friday · 25 September · Osaka south + central</x:v>
      </x:c>
      <x:c r="G1" s="49" t="str">
        <x:v>Friday · 25 September · Osaka south + central</x:v>
      </x:c>
      <x:c r="H1" s="49" t="str">
        <x:v>Friday · 25 September · Osaka south + central</x:v>
      </x:c>
      <x:c r="I1" s="49" t="str">
        <x:v>Friday · 25 September · Osaka south + central</x:v>
      </x:c>
      <x:c r="J1" s="49" t="str">
        <x:v>Friday · 25 September · Osaka south + central</x:v>
      </x:c>
      <x:c r="K1" s="49" t="str">
        <x:v>Friday · 25 September · Osaka south + central</x:v>
      </x:c>
      <x:c r="L1" s="49" t="str">
        <x:v>Friday · 25 September · Osaka south + central</x:v>
      </x:c>
      <x:c r="M1" s="49" t="str">
        <x:v>Friday · 25 September · Osaka south + central</x:v>
      </x:c>
    </x:row>
    <x:row r="2" ht="32" customHeight="1">
      <x:c r="A2" s="49" t="str">
        <x:v>Friday · 25 September · Osaka south + central</x:v>
      </x:c>
      <x:c r="B2" s="49" t="str">
        <x:v>Friday · 25 September · Osaka south + central</x:v>
      </x:c>
      <x:c r="C2" s="49" t="str">
        <x:v>Friday · 25 September · Osaka south + central</x:v>
      </x:c>
      <x:c r="D2" s="49" t="str">
        <x:v>Friday · 25 September · Osaka south + central</x:v>
      </x:c>
      <x:c r="E2" s="49" t="str">
        <x:v>Friday · 25 September · Osaka south + central</x:v>
      </x:c>
      <x:c r="F2" s="49" t="str">
        <x:v>Friday · 25 September · Osaka south + central</x:v>
      </x:c>
      <x:c r="G2" s="49" t="str">
        <x:v>Friday · 25 September · Osaka south + central</x:v>
      </x:c>
      <x:c r="H2" s="49" t="str">
        <x:v>Friday · 25 September · Osaka south + central</x:v>
      </x:c>
      <x:c r="I2" s="49" t="str">
        <x:v>Friday · 25 September · Osaka south + central</x:v>
      </x:c>
      <x:c r="J2" s="49" t="str">
        <x:v>Friday · 25 September · Osaka south + central</x:v>
      </x:c>
      <x:c r="K2" s="49" t="str">
        <x:v>Friday · 25 September · Osaka south + central</x:v>
      </x:c>
      <x:c r="L2" s="49" t="str">
        <x:v>Friday · 25 September · Osaka south + central</x:v>
      </x:c>
      <x:c r="M2" s="49" t="str">
        <x:v>Friday · 25 September · Osaka south + central</x:v>
      </x:c>
    </x:row>
    <x:row r="3" ht="28" customHeight="1">
      <x:c r="A3" s="10" t="str">
        <x:v>Low-pressure local day. WAD opens at noon; Azuma House remains an exterior-only observation.</x:v>
      </x:c>
      <x:c r="B3" s="10" t="str">
        <x:v>Low-pressure local day. WAD opens at noon; Azuma House remains an exterior-only observation.</x:v>
      </x:c>
      <x:c r="C3" s="10" t="str">
        <x:v>Low-pressure local day. WAD opens at noon; Azuma House remains an exterior-only observation.</x:v>
      </x:c>
      <x:c r="D3" s="10" t="str">
        <x:v>Low-pressure local day. WAD opens at noon; Azuma House remains an exterior-only observation.</x:v>
      </x:c>
      <x:c r="E3" s="10" t="str">
        <x:v>Low-pressure local day. WAD opens at noon; Azuma House remains an exterior-only observation.</x:v>
      </x:c>
      <x:c r="F3" s="10" t="str">
        <x:v>Low-pressure local day. WAD opens at noon; Azuma House remains an exterior-only observation.</x:v>
      </x:c>
      <x:c r="G3" s="10" t="str">
        <x:v>Low-pressure local day. WAD opens at noon; Azuma House remains an exterior-only observation.</x:v>
      </x:c>
      <x:c r="H3" s="10" t="str">
        <x:v>Low-pressure local day. WAD opens at noon; Azuma House remains an exterior-only observation.</x:v>
      </x:c>
      <x:c r="I3" s="10" t="str">
        <x:v>Low-pressure local day. WAD opens at noon; Azuma House remains an exterior-only observation.</x:v>
      </x:c>
      <x:c r="J3" s="10" t="str">
        <x:v>Low-pressure local day. WAD opens at noon; Azuma House remains an exterior-only observation.</x:v>
      </x:c>
      <x:c r="K3" s="10" t="str">
        <x:v>Low-pressure local day. WAD opens at noon; Azuma House remains an exterior-only observation.</x:v>
      </x:c>
      <x:c r="L3" s="10" t="str">
        <x:v>Low-pressure local day. WAD opens at noon; Azuma House remains an exterior-only observation.</x:v>
      </x:c>
      <x:c r="M3" s="10" t="str">
        <x:v>Low-pressure local day. WAD opens at noon; Azuma House remains an exterior-only observation.</x:v>
      </x:c>
    </x:row>
    <x:row r="4">
      <x:c r="A4" s="48"/>
      <x:c r="B4" s="48"/>
      <x:c r="C4" s="48"/>
      <x:c r="D4" s="48"/>
      <x:c r="E4" s="48"/>
      <x:c r="F4" s="48"/>
      <x:c r="G4" s="48"/>
      <x:c r="H4" s="48"/>
      <x:c r="I4" s="48"/>
      <x:c r="J4" s="48"/>
      <x:c r="K4" s="48"/>
      <x:c r="L4" s="48"/>
      <x:c r="M4" s="48"/>
    </x:row>
    <x:row r="5" ht="30" customHeight="1">
      <x:c r="A5" s="16" t="str">
        <x:v>Start</x:v>
      </x:c>
      <x:c r="B5" s="16" t="str">
        <x:v>End</x:v>
      </x:c>
      <x:c r="C5" s="16" t="str">
        <x:v>Block</x:v>
      </x:c>
      <x:c r="D5" s="16" t="str">
        <x:v>Location</x:v>
      </x:c>
      <x:c r="E5" s="16" t="str">
        <x:v>Type</x:v>
      </x:c>
      <x:c r="F5" s="16" t="str">
        <x:v>Time-sensitive?</x:v>
      </x:c>
      <x:c r="G5" s="16" t="str">
        <x:v>Transit / duration</x:v>
      </x:c>
      <x:c r="H5" s="16" t="str">
        <x:v>Plan</x:v>
      </x:c>
      <x:c r="I5" s="16" t="str">
        <x:v>Backup / flex</x:v>
      </x:c>
      <x:c r="J5" s="16" t="str">
        <x:v>Booking or ticket</x:v>
      </x:c>
      <x:c r="K5" s="16" t="str">
        <x:v>Est. cost (2)</x:v>
      </x:c>
      <x:c r="L5" s="16" t="str">
        <x:v>Source</x:v>
      </x:c>
      <x:c r="M5" s="16" t="str">
        <x:v>Status</x:v>
      </x:c>
    </x:row>
    <x:row r="6" ht="52" customHeight="1">
      <x:c r="A6" s="27" t="str">
        <x:v>09:30</x:v>
      </x:c>
      <x:c r="B6" s="27" t="str">
        <x:v>10:15</x:v>
      </x:c>
      <x:c r="C6" s="23" t="str">
        <x:v>Honmachi → Sumiyoshi</x:v>
      </x:c>
      <x:c r="D6" s="23" t="str">
        <x:v>Azuma House area</x:v>
      </x:c>
      <x:c r="E6" s="23" t="str">
        <x:v>Transit</x:v>
      </x:c>
      <x:c r="F6" s="54" t="str">
        <x:v>No</x:v>
      </x:c>
      <x:c r="G6" s="23" t="str">
        <x:v>35–45 min</x:v>
      </x:c>
      <x:c r="H6" s="23" t="str">
        <x:v>Metro/train south with an unhurried transfer.</x:v>
      </x:c>
      <x:c r="I6" s="23" t="str">
        <x:v>If tired or raining hard, skip Azuma and begin at WAD at noon.</x:v>
      </x:c>
      <x:c r="J6" s="23" t="str">
        <x:v>IC card</x:v>
      </x:c>
      <x:c r="K6" s="56" t="n">
        <x:v>1000</x:v>
      </x:c>
      <x:c r="L6" s="23" t="str">
        <x:v>https://maps.google.com/?q=Honmachi+to+Azuma+House+Osaka</x:v>
      </x:c>
      <x:c r="M6" s="23" t="str">
        <x:v>Planned</x:v>
      </x:c>
    </x:row>
    <x:row r="7" ht="52" customHeight="1">
      <x:c r="A7" s="26" t="str">
        <x:v>10:15</x:v>
      </x:c>
      <x:c r="B7" s="26" t="str">
        <x:v>10:30</x:v>
      </x:c>
      <x:c r="C7" s="19" t="str">
        <x:v>Exterior observation</x:v>
      </x:c>
      <x:c r="D7" s="19" t="str">
        <x:v>Azuma House</x:v>
      </x:c>
      <x:c r="E7" s="19" t="str">
        <x:v>Architecture</x:v>
      </x:c>
      <x:c r="F7" s="55" t="str">
        <x:v>No</x:v>
      </x:c>
      <x:c r="G7" s="19" t="str">
        <x:v>10–15 min</x:v>
      </x:c>
      <x:c r="H7" s="19" t="str">
        <x:v>View from the public street only. No entry, door approach, or lingering photography.</x:v>
      </x:c>
      <x:c r="I7" s="19" t="str">
        <x:v>Keep it to a single quiet pass.</x:v>
      </x:c>
      <x:c r="J7" s="19" t="str">
        <x:v>Private occupied residence</x:v>
      </x:c>
      <x:c r="K7" s="57" t="n">
        <x:v>0</x:v>
      </x:c>
      <x:c r="L7" s="19" t="str">
        <x:v>https://tadao-ando-archive.com/azuma-house/</x:v>
      </x:c>
      <x:c r="M7" s="19" t="str">
        <x:v>Planned</x:v>
      </x:c>
    </x:row>
    <x:row r="8" ht="52" customHeight="1">
      <x:c r="A8" s="27" t="str">
        <x:v>10:35</x:v>
      </x:c>
      <x:c r="B8" s="27" t="str">
        <x:v>11:15</x:v>
      </x:c>
      <x:c r="C8" s="23" t="str">
        <x:v>Optional nearby stop</x:v>
      </x:c>
      <x:c r="D8" s="23" t="str">
        <x:v>Sumiyoshi Taisha</x:v>
      </x:c>
      <x:c r="E8" s="23" t="str">
        <x:v>Culture</x:v>
      </x:c>
      <x:c r="F8" s="54" t="str">
        <x:v>No</x:v>
      </x:c>
      <x:c r="G8" s="23" t="str">
        <x:v>10–15 min onward</x:v>
      </x:c>
      <x:c r="H8" s="23" t="str">
        <x:v>Short grounds walk only if it genuinely appeals and energy is good.</x:v>
      </x:c>
      <x:c r="I8" s="23" t="str">
        <x:v>Skip with zero penalty.</x:v>
      </x:c>
      <x:c r="J8" s="23" t="str">
        <x:v>No appointment</x:v>
      </x:c>
      <x:c r="K8" s="56" t="n">
        <x:v>0</x:v>
      </x:c>
      <x:c r="L8" s="23" t="str">
        <x:v>https://www.sumiyoshitaisha.net/en/</x:v>
      </x:c>
      <x:c r="M8" s="23" t="str">
        <x:v>Optional</x:v>
      </x:c>
    </x:row>
    <x:row r="9" ht="52" customHeight="1">
      <x:c r="A9" s="26" t="str">
        <x:v>11:15</x:v>
      </x:c>
      <x:c r="B9" s="26" t="str">
        <x:v>12:00</x:v>
      </x:c>
      <x:c r="C9" s="19" t="str">
        <x:v>Return toward central Osaka</x:v>
      </x:c>
      <x:c r="D9" s="19" t="str">
        <x:v>Sumiyoshi → WAD</x:v>
      </x:c>
      <x:c r="E9" s="19" t="str">
        <x:v>Transit</x:v>
      </x:c>
      <x:c r="F9" s="55" t="str">
        <x:v>No</x:v>
      </x:c>
      <x:c r="G9" s="19" t="str">
        <x:v>35–45 min</x:v>
      </x:c>
      <x:c r="H9" s="19" t="str">
        <x:v>Aim to arrive near opening, not much earlier.</x:v>
      </x:c>
      <x:c r="I9" s="19" t="str">
        <x:v>Coffee or rest near Honmachi.</x:v>
      </x:c>
      <x:c r="J9" s="19" t="str">
        <x:v>IC card</x:v>
      </x:c>
      <x:c r="K9" s="57" t="n">
        <x:v>1000</x:v>
      </x:c>
      <x:c r="L9" s="19" t="str">
        <x:v>https://maps.google.com/?q=Sumiyoshi+Taisha+to+WAD+Omotenashi+Cafe</x:v>
      </x:c>
      <x:c r="M9" s="19" t="str">
        <x:v>Planned</x:v>
      </x:c>
    </x:row>
    <x:row r="10" ht="52" customHeight="1">
      <x:c r="A10" s="27" t="str">
        <x:v>12:00</x:v>
      </x:c>
      <x:c r="B10" s="27" t="str">
        <x:v>13:30</x:v>
      </x:c>
      <x:c r="C10" s="23" t="str">
        <x:v>Tea / light lunch</x:v>
      </x:c>
      <x:c r="D10" s="23" t="str">
        <x:v>WAD Omotenashi Café</x:v>
      </x:c>
      <x:c r="E10" s="23" t="str">
        <x:v>Food + design</x:v>
      </x:c>
      <x:c r="F10" s="54" t="str">
        <x:v>No</x:v>
      </x:c>
      <x:c r="G10" s="23" t="str">
        <x:v>Walkable from base</x:v>
      </x:c>
      <x:c r="H10" s="23" t="str">
        <x:v>Modern tea service in a quiet setting. Cash only; no reservations; irregular closures possible.</x:v>
      </x:c>
      <x:c r="I10" s="23" t="str">
        <x:v>If closed/full, choose a nearby Honmachi café and protect the relaxed rhythm.</x:v>
      </x:c>
      <x:c r="J10" s="23" t="str">
        <x:v>Walk-in; cash; last order 18:30</x:v>
      </x:c>
      <x:c r="K10" s="56" t="n">
        <x:v>4000</x:v>
      </x:c>
      <x:c r="L10" s="23" t="str">
        <x:v>https://wad-cafe.com/omotenashi-cafe/</x:v>
      </x:c>
      <x:c r="M10" s="23" t="str">
        <x:v>Planned</x:v>
      </x:c>
    </x:row>
    <x:row r="11" ht="52" customHeight="1">
      <x:c r="A11" s="26" t="str">
        <x:v>13:30</x:v>
      </x:c>
      <x:c r="B11" s="26" t="str">
        <x:v>Afternoon</x:v>
      </x:c>
      <x:c r="C11" s="19" t="str">
        <x:v>Free Osaka afternoon</x:v>
      </x:c>
      <x:c r="D11" s="19" t="str">
        <x:v>Honmachi / Shinsaibashi</x:v>
      </x:c>
      <x:c r="E11" s="19" t="str">
        <x:v>Flex</x:v>
      </x:c>
      <x:c r="F11" s="55" t="str">
        <x:v>No</x:v>
      </x:c>
      <x:c r="G11" s="19" t="str">
        <x:v>Open</x:v>
      </x:c>
      <x:c r="H11" s="19" t="str">
        <x:v>Rest, browse or return to the stay. No evening stack.</x:v>
      </x:c>
      <x:c r="I11" s="19" t="str">
        <x:v>If Sep 27 train is before 17:00, add B.B. here (10–15 min walk from WAD).</x:v>
      </x:c>
      <x:c r="J11" s="19" t="str">
        <x:v>None</x:v>
      </x:c>
      <x:c r="K11" s="57" t="n">
        <x:v>0</x:v>
      </x:c>
      <x:c r="L11" s="19" t="str"/>
      <x:c r="M11" s="19" t="str">
        <x:v>Planned</x:v>
      </x:c>
    </x:row>
    <x:row r="12">
      <x:c r="A12" s="48"/>
      <x:c r="B12" s="48"/>
      <x:c r="C12" s="48"/>
      <x:c r="D12" s="48"/>
      <x:c r="E12" s="48"/>
      <x:c r="F12" s="48"/>
      <x:c r="G12" s="48"/>
      <x:c r="H12" s="48"/>
      <x:c r="I12" s="48"/>
      <x:c r="J12" s="48"/>
      <x:c r="K12" s="48"/>
      <x:c r="L12" s="48"/>
      <x:c r="M12" s="48"/>
    </x:row>
    <x:row r="13" ht="22" customHeight="1">
      <x:c r="A13" s="50" t="str">
        <x:v>Ground reality / day rule</x:v>
      </x:c>
      <x:c r="B13" s="50" t="str">
        <x:v>Ground reality / day rule</x:v>
      </x:c>
      <x:c r="C13" s="50" t="str">
        <x:v>Ground reality / day rule</x:v>
      </x:c>
      <x:c r="D13" s="50" t="str">
        <x:v>Ground reality / day rule</x:v>
      </x:c>
      <x:c r="E13" s="50" t="str">
        <x:v>Ground reality / day rule</x:v>
      </x:c>
      <x:c r="F13" s="50" t="str">
        <x:v>Ground reality / day rule</x:v>
      </x:c>
      <x:c r="G13" s="50" t="str">
        <x:v>Ground reality / day rule</x:v>
      </x:c>
      <x:c r="H13" s="50" t="str">
        <x:v>Ground reality / day rule</x:v>
      </x:c>
      <x:c r="I13" s="50" t="str">
        <x:v>Ground reality / day rule</x:v>
      </x:c>
      <x:c r="J13" s="50" t="str">
        <x:v>Ground reality / day rule</x:v>
      </x:c>
      <x:c r="K13" s="50" t="str">
        <x:v>Ground reality / day rule</x:v>
      </x:c>
      <x:c r="L13" s="50" t="str">
        <x:v>Ground reality / day rule</x:v>
      </x:c>
      <x:c r="M13" s="50" t="str">
        <x:v>Ground reality / day rule</x:v>
      </x:c>
    </x:row>
    <x:row r="14" ht="40" customHeight="1">
      <x:c r="A14" s="64" t="str">
        <x:v>WAD publishes 12:00–19:00 hours (last order 18:30), no reservations and cash-only service. Recheck its official page/Instagram for irregular closure. B.B. is the movable piece if departure day becomes too short.</x:v>
      </x:c>
      <x:c r="B14" s="65" t="str">
        <x:v>WAD publishes 12:00–19:00 hours (last order 18:30), no reservations and cash-only service. Recheck its official page/Instagram for irregular closure. B.B. is the movable piece if departure day becomes too short.</x:v>
      </x:c>
      <x:c r="C14" s="65" t="str">
        <x:v>WAD publishes 12:00–19:00 hours (last order 18:30), no reservations and cash-only service. Recheck its official page/Instagram for irregular closure. B.B. is the movable piece if departure day becomes too short.</x:v>
      </x:c>
      <x:c r="D14" s="65" t="str">
        <x:v>WAD publishes 12:00–19:00 hours (last order 18:30), no reservations and cash-only service. Recheck its official page/Instagram for irregular closure. B.B. is the movable piece if departure day becomes too short.</x:v>
      </x:c>
      <x:c r="E14" s="65" t="str">
        <x:v>WAD publishes 12:00–19:00 hours (last order 18:30), no reservations and cash-only service. Recheck its official page/Instagram for irregular closure. B.B. is the movable piece if departure day becomes too short.</x:v>
      </x:c>
      <x:c r="F14" s="65" t="str">
        <x:v>WAD publishes 12:00–19:00 hours (last order 18:30), no reservations and cash-only service. Recheck its official page/Instagram for irregular closure. B.B. is the movable piece if departure day becomes too short.</x:v>
      </x:c>
      <x:c r="G14" s="65" t="str">
        <x:v>WAD publishes 12:00–19:00 hours (last order 18:30), no reservations and cash-only service. Recheck its official page/Instagram for irregular closure. B.B. is the movable piece if departure day becomes too short.</x:v>
      </x:c>
      <x:c r="H14" s="65" t="str">
        <x:v>WAD publishes 12:00–19:00 hours (last order 18:30), no reservations and cash-only service. Recheck its official page/Instagram for irregular closure. B.B. is the movable piece if departure day becomes too short.</x:v>
      </x:c>
      <x:c r="I14" s="65" t="str">
        <x:v>WAD publishes 12:00–19:00 hours (last order 18:30), no reservations and cash-only service. Recheck its official page/Instagram for irregular closure. B.B. is the movable piece if departure day becomes too short.</x:v>
      </x:c>
      <x:c r="J14" s="65" t="str">
        <x:v>WAD publishes 12:00–19:00 hours (last order 18:30), no reservations and cash-only service. Recheck its official page/Instagram for irregular closure. B.B. is the movable piece if departure day becomes too short.</x:v>
      </x:c>
      <x:c r="K14" s="65" t="str">
        <x:v>WAD publishes 12:00–19:00 hours (last order 18:30), no reservations and cash-only service. Recheck its official page/Instagram for irregular closure. B.B. is the movable piece if departure day becomes too short.</x:v>
      </x:c>
      <x:c r="L14" s="65" t="str">
        <x:v>WAD publishes 12:00–19:00 hours (last order 18:30), no reservations and cash-only service. Recheck its official page/Instagram for irregular closure. B.B. is the movable piece if departure day becomes too short.</x:v>
      </x:c>
      <x:c r="M14" s="66" t="str">
        <x:v>WAD publishes 12:00–19:00 hours (last order 18:30), no reservations and cash-only service. Recheck its official page/Instagram for irregular closure. B.B. is the movable piece if departure day becomes too short.</x:v>
      </x:c>
    </x:row>
    <x:row r="15" ht="40" customHeight="1">
      <x:c r="A15" s="67" t="str">
        <x:v>WAD publishes 12:00–19:00 hours (last order 18:30), no reservations and cash-only service. Recheck its official page/Instagram for irregular closure. B.B. is the movable piece if departure day becomes too short.</x:v>
      </x:c>
      <x:c r="B15" s="68" t="str">
        <x:v>WAD publishes 12:00–19:00 hours (last order 18:30), no reservations and cash-only service. Recheck its official page/Instagram for irregular closure. B.B. is the movable piece if departure day becomes too short.</x:v>
      </x:c>
      <x:c r="C15" s="68" t="str">
        <x:v>WAD publishes 12:00–19:00 hours (last order 18:30), no reservations and cash-only service. Recheck its official page/Instagram for irregular closure. B.B. is the movable piece if departure day becomes too short.</x:v>
      </x:c>
      <x:c r="D15" s="68" t="str">
        <x:v>WAD publishes 12:00–19:00 hours (last order 18:30), no reservations and cash-only service. Recheck its official page/Instagram for irregular closure. B.B. is the movable piece if departure day becomes too short.</x:v>
      </x:c>
      <x:c r="E15" s="68" t="str">
        <x:v>WAD publishes 12:00–19:00 hours (last order 18:30), no reservations and cash-only service. Recheck its official page/Instagram for irregular closure. B.B. is the movable piece if departure day becomes too short.</x:v>
      </x:c>
      <x:c r="F15" s="68" t="str">
        <x:v>WAD publishes 12:00–19:00 hours (last order 18:30), no reservations and cash-only service. Recheck its official page/Instagram for irregular closure. B.B. is the movable piece if departure day becomes too short.</x:v>
      </x:c>
      <x:c r="G15" s="68" t="str">
        <x:v>WAD publishes 12:00–19:00 hours (last order 18:30), no reservations and cash-only service. Recheck its official page/Instagram for irregular closure. B.B. is the movable piece if departure day becomes too short.</x:v>
      </x:c>
      <x:c r="H15" s="68" t="str">
        <x:v>WAD publishes 12:00–19:00 hours (last order 18:30), no reservations and cash-only service. Recheck its official page/Instagram for irregular closure. B.B. is the movable piece if departure day becomes too short.</x:v>
      </x:c>
      <x:c r="I15" s="68" t="str">
        <x:v>WAD publishes 12:00–19:00 hours (last order 18:30), no reservations and cash-only service. Recheck its official page/Instagram for irregular closure. B.B. is the movable piece if departure day becomes too short.</x:v>
      </x:c>
      <x:c r="J15" s="68" t="str">
        <x:v>WAD publishes 12:00–19:00 hours (last order 18:30), no reservations and cash-only service. Recheck its official page/Instagram for irregular closure. B.B. is the movable piece if departure day becomes too short.</x:v>
      </x:c>
      <x:c r="K15" s="68" t="str">
        <x:v>WAD publishes 12:00–19:00 hours (last order 18:30), no reservations and cash-only service. Recheck its official page/Instagram for irregular closure. B.B. is the movable piece if departure day becomes too short.</x:v>
      </x:c>
      <x:c r="L15" s="68" t="str">
        <x:v>WAD publishes 12:00–19:00 hours (last order 18:30), no reservations and cash-only service. Recheck its official page/Instagram for irregular closure. B.B. is the movable piece if departure day becomes too short.</x:v>
      </x:c>
      <x:c r="M15" s="69" t="str">
        <x:v>WAD publishes 12:00–19:00 hours (last order 18:30), no reservations and cash-only service. Recheck its official page/Instagram for irregular closure. B.B. is the movable piece if departure day becomes too short.</x:v>
      </x:c>
    </x:row>
    <x:row r="16">
      <x:c r="A16" s="3"/>
      <x:c r="B16" s="3"/>
      <x:c r="C16" s="3"/>
      <x:c r="D16" s="3"/>
      <x:c r="E16" s="3"/>
      <x:c r="F16" s="3"/>
      <x:c r="G16" s="3"/>
      <x:c r="H16" s="3"/>
      <x:c r="I16" s="3"/>
      <x:c r="J16" s="3"/>
      <x:c r="K16" s="3"/>
      <x:c r="L16" s="3"/>
      <x:c r="M16" s="3"/>
    </x:row>
    <x:row r="17">
      <x:c r="A17" s="3"/>
      <x:c r="B17" s="3"/>
      <x:c r="C17" s="3"/>
      <x:c r="D17" s="3"/>
      <x:c r="E17" s="3"/>
      <x:c r="F17" s="3"/>
      <x:c r="G17" s="3"/>
      <x:c r="H17" s="3"/>
      <x:c r="I17" s="3"/>
      <x:c r="J17" s="3"/>
      <x:c r="K17" s="3"/>
      <x:c r="L17" s="3"/>
      <x:c r="M17" s="3"/>
    </x:row>
    <x:row r="18">
      <x:c r="A18" s="3"/>
      <x:c r="B18" s="3"/>
      <x:c r="C18" s="3"/>
      <x:c r="D18" s="3"/>
      <x:c r="E18" s="3"/>
      <x:c r="F18" s="3"/>
      <x:c r="G18" s="3"/>
      <x:c r="H18" s="3"/>
      <x:c r="I18" s="3"/>
      <x:c r="J18" s="3"/>
      <x:c r="K18" s="3"/>
      <x:c r="L18" s="3"/>
      <x:c r="M18" s="3"/>
    </x:row>
    <x:row r="19">
      <x:c r="A19" s="3"/>
      <x:c r="B19" s="3"/>
      <x:c r="C19" s="3"/>
      <x:c r="D19" s="3"/>
      <x:c r="E19" s="3"/>
      <x:c r="F19" s="3"/>
      <x:c r="G19" s="3"/>
      <x:c r="H19" s="3"/>
      <x:c r="I19" s="3"/>
      <x:c r="J19" s="3"/>
      <x:c r="K19" s="3"/>
      <x:c r="L19" s="3"/>
      <x:c r="M19" s="3"/>
    </x:row>
    <x:row r="20">
      <x:c r="A20" s="3"/>
      <x:c r="B20" s="3"/>
      <x:c r="C20" s="3"/>
      <x:c r="D20" s="3"/>
      <x:c r="E20" s="3"/>
      <x:c r="F20" s="3"/>
      <x:c r="G20" s="3"/>
      <x:c r="H20" s="3"/>
      <x:c r="I20" s="3"/>
      <x:c r="J20" s="3"/>
      <x:c r="K20" s="3"/>
      <x:c r="L20" s="3"/>
      <x:c r="M20" s="3"/>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sheetData>
  <x:mergeCells>
    <x:mergeCell ref="A1:M2"/>
    <x:mergeCell ref="A3:M3"/>
    <x:mergeCell ref="A13:M13"/>
    <x:mergeCell ref="A14:M15"/>
  </x:mergeCells>
  <x:conditionalFormatting sqref="M6:M11">
    <x:cfRule type="containsText" dxfId="3" priority="1" operator="containsText" text="Planned"/>
    <x:cfRule type="containsText" dxfId="4" priority="2" operator="containsText" text="Optional"/>
    <x:cfRule type="containsText" dxfId="5" priority="3" operator="containsText" text="Backup"/>
  </x:conditionalFormatting>
  <x:dataValidations count="1">
    <x:dataValidation type="list" sqref="M6:M11">
      <x:formula1>"Planned,Optional,Backup,Done,Skipped"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22" hidden="0" customWidth="1"/>
    <x:col min="4" max="4" width="24" hidden="0" customWidth="1"/>
    <x:col min="5" max="5" width="14" hidden="0" customWidth="1"/>
    <x:col min="6" max="6" width="14" hidden="0" customWidth="1"/>
    <x:col min="7" max="7" width="22" hidden="0" customWidth="1"/>
    <x:col min="8" max="8" width="38" hidden="0" customWidth="1"/>
    <x:col min="9" max="9" width="32" hidden="0" customWidth="1"/>
    <x:col min="10" max="10" width="27" hidden="0" customWidth="1"/>
    <x:col min="11" max="11" width="15" hidden="0" customWidth="1"/>
    <x:col min="12" max="12" width="24" hidden="0" customWidth="1"/>
    <x:col min="13" max="13" width="14" hidden="0" customWidth="1"/>
  </x:cols>
  <x:sheetData>
    <x:row r="1" ht="32" customHeight="1">
      <x:c r="A1" s="49" t="str">
        <x:v>Saturday · 26 September · Ikoma Sanjo</x:v>
      </x:c>
      <x:c r="B1" s="49" t="str">
        <x:v>Saturday · 26 September · Ikoma Sanjo</x:v>
      </x:c>
      <x:c r="C1" s="49" t="str">
        <x:v>Saturday · 26 September · Ikoma Sanjo</x:v>
      </x:c>
      <x:c r="D1" s="49" t="str">
        <x:v>Saturday · 26 September · Ikoma Sanjo</x:v>
      </x:c>
      <x:c r="E1" s="49" t="str">
        <x:v>Saturday · 26 September · Ikoma Sanjo</x:v>
      </x:c>
      <x:c r="F1" s="49" t="str">
        <x:v>Saturday · 26 September · Ikoma Sanjo</x:v>
      </x:c>
      <x:c r="G1" s="49" t="str">
        <x:v>Saturday · 26 September · Ikoma Sanjo</x:v>
      </x:c>
      <x:c r="H1" s="49" t="str">
        <x:v>Saturday · 26 September · Ikoma Sanjo</x:v>
      </x:c>
      <x:c r="I1" s="49" t="str">
        <x:v>Saturday · 26 September · Ikoma Sanjo</x:v>
      </x:c>
      <x:c r="J1" s="49" t="str">
        <x:v>Saturday · 26 September · Ikoma Sanjo</x:v>
      </x:c>
      <x:c r="K1" s="49" t="str">
        <x:v>Saturday · 26 September · Ikoma Sanjo</x:v>
      </x:c>
      <x:c r="L1" s="49" t="str">
        <x:v>Saturday · 26 September · Ikoma Sanjo</x:v>
      </x:c>
      <x:c r="M1" s="49" t="str">
        <x:v>Saturday · 26 September · Ikoma Sanjo</x:v>
      </x:c>
    </x:row>
    <x:row r="2" ht="32" customHeight="1">
      <x:c r="A2" s="49" t="str">
        <x:v>Saturday · 26 September · Ikoma Sanjo</x:v>
      </x:c>
      <x:c r="B2" s="49" t="str">
        <x:v>Saturday · 26 September · Ikoma Sanjo</x:v>
      </x:c>
      <x:c r="C2" s="49" t="str">
        <x:v>Saturday · 26 September · Ikoma Sanjo</x:v>
      </x:c>
      <x:c r="D2" s="49" t="str">
        <x:v>Saturday · 26 September · Ikoma Sanjo</x:v>
      </x:c>
      <x:c r="E2" s="49" t="str">
        <x:v>Saturday · 26 September · Ikoma Sanjo</x:v>
      </x:c>
      <x:c r="F2" s="49" t="str">
        <x:v>Saturday · 26 September · Ikoma Sanjo</x:v>
      </x:c>
      <x:c r="G2" s="49" t="str">
        <x:v>Saturday · 26 September · Ikoma Sanjo</x:v>
      </x:c>
      <x:c r="H2" s="49" t="str">
        <x:v>Saturday · 26 September · Ikoma Sanjo</x:v>
      </x:c>
      <x:c r="I2" s="49" t="str">
        <x:v>Saturday · 26 September · Ikoma Sanjo</x:v>
      </x:c>
      <x:c r="J2" s="49" t="str">
        <x:v>Saturday · 26 September · Ikoma Sanjo</x:v>
      </x:c>
      <x:c r="K2" s="49" t="str">
        <x:v>Saturday · 26 September · Ikoma Sanjo</x:v>
      </x:c>
      <x:c r="L2" s="49" t="str">
        <x:v>Saturday · 26 September · Ikoma Sanjo</x:v>
      </x:c>
      <x:c r="M2" s="49" t="str">
        <x:v>Saturday · 26 September · Ikoma Sanjo</x:v>
      </x:c>
    </x:row>
    <x:row r="3" ht="28" customHeight="1">
      <x:c r="A3" s="10" t="str">
        <x:v>The cable timetable and weather matter more than squeezing in extra Osaka sights.</x:v>
      </x:c>
      <x:c r="B3" s="10" t="str">
        <x:v>The cable timetable and weather matter more than squeezing in extra Osaka sights.</x:v>
      </x:c>
      <x:c r="C3" s="10" t="str">
        <x:v>The cable timetable and weather matter more than squeezing in extra Osaka sights.</x:v>
      </x:c>
      <x:c r="D3" s="10" t="str">
        <x:v>The cable timetable and weather matter more than squeezing in extra Osaka sights.</x:v>
      </x:c>
      <x:c r="E3" s="10" t="str">
        <x:v>The cable timetable and weather matter more than squeezing in extra Osaka sights.</x:v>
      </x:c>
      <x:c r="F3" s="10" t="str">
        <x:v>The cable timetable and weather matter more than squeezing in extra Osaka sights.</x:v>
      </x:c>
      <x:c r="G3" s="10" t="str">
        <x:v>The cable timetable and weather matter more than squeezing in extra Osaka sights.</x:v>
      </x:c>
      <x:c r="H3" s="10" t="str">
        <x:v>The cable timetable and weather matter more than squeezing in extra Osaka sights.</x:v>
      </x:c>
      <x:c r="I3" s="10" t="str">
        <x:v>The cable timetable and weather matter more than squeezing in extra Osaka sights.</x:v>
      </x:c>
      <x:c r="J3" s="10" t="str">
        <x:v>The cable timetable and weather matter more than squeezing in extra Osaka sights.</x:v>
      </x:c>
      <x:c r="K3" s="10" t="str">
        <x:v>The cable timetable and weather matter more than squeezing in extra Osaka sights.</x:v>
      </x:c>
      <x:c r="L3" s="10" t="str">
        <x:v>The cable timetable and weather matter more than squeezing in extra Osaka sights.</x:v>
      </x:c>
      <x:c r="M3" s="10" t="str">
        <x:v>The cable timetable and weather matter more than squeezing in extra Osaka sights.</x:v>
      </x:c>
    </x:row>
    <x:row r="4">
      <x:c r="A4" s="48"/>
      <x:c r="B4" s="48"/>
      <x:c r="C4" s="48"/>
      <x:c r="D4" s="48"/>
      <x:c r="E4" s="48"/>
      <x:c r="F4" s="48"/>
      <x:c r="G4" s="48"/>
      <x:c r="H4" s="48"/>
      <x:c r="I4" s="48"/>
      <x:c r="J4" s="48"/>
      <x:c r="K4" s="48"/>
      <x:c r="L4" s="48"/>
      <x:c r="M4" s="48"/>
    </x:row>
    <x:row r="5" ht="30" customHeight="1">
      <x:c r="A5" s="16" t="str">
        <x:v>Start</x:v>
      </x:c>
      <x:c r="B5" s="16" t="str">
        <x:v>End</x:v>
      </x:c>
      <x:c r="C5" s="16" t="str">
        <x:v>Block</x:v>
      </x:c>
      <x:c r="D5" s="16" t="str">
        <x:v>Location</x:v>
      </x:c>
      <x:c r="E5" s="16" t="str">
        <x:v>Type</x:v>
      </x:c>
      <x:c r="F5" s="16" t="str">
        <x:v>Time-sensitive?</x:v>
      </x:c>
      <x:c r="G5" s="16" t="str">
        <x:v>Transit / duration</x:v>
      </x:c>
      <x:c r="H5" s="16" t="str">
        <x:v>Plan</x:v>
      </x:c>
      <x:c r="I5" s="16" t="str">
        <x:v>Backup / flex</x:v>
      </x:c>
      <x:c r="J5" s="16" t="str">
        <x:v>Booking or ticket</x:v>
      </x:c>
      <x:c r="K5" s="16" t="str">
        <x:v>Est. cost (2)</x:v>
      </x:c>
      <x:c r="L5" s="16" t="str">
        <x:v>Source</x:v>
      </x:c>
      <x:c r="M5" s="16" t="str">
        <x:v>Status</x:v>
      </x:c>
    </x:row>
    <x:row r="6" ht="52" customHeight="1">
      <x:c r="A6" s="27" t="str">
        <x:v>08:50</x:v>
      </x:c>
      <x:c r="B6" s="27" t="str">
        <x:v>09:25</x:v>
      </x:c>
      <x:c r="C6" s="23" t="str">
        <x:v>Honmachi → Ikoma</x:v>
      </x:c>
      <x:c r="D6" s="23" t="str">
        <x:v>Honmachi to Ikoma Station</x:v>
      </x:c>
      <x:c r="E6" s="23" t="str">
        <x:v>Transit</x:v>
      </x:c>
      <x:c r="F6" s="54" t="str">
        <x:v>No</x:v>
      </x:c>
      <x:c r="G6" s="23" t="str">
        <x:v>30–35 min</x:v>
      </x:c>
      <x:c r="H6" s="23" t="str">
        <x:v>Use Osaka Metro + Kintetsu; stay on the planned connection.</x:v>
      </x:c>
      <x:c r="I6" s="23" t="str">
        <x:v>Missed connection is manageable, but the cable wait can add ~40 min.</x:v>
      </x:c>
      <x:c r="J6" s="23" t="str">
        <x:v>IC card</x:v>
      </x:c>
      <x:c r="K6" s="56" t="n">
        <x:v>1600</x:v>
      </x:c>
      <x:c r="L6" s="23" t="str">
        <x:v>https://maps.google.com/?q=Honmachi+to+Ikoma+Station</x:v>
      </x:c>
      <x:c r="M6" s="23" t="str">
        <x:v>Planned</x:v>
      </x:c>
    </x:row>
    <x:row r="7" ht="52" customHeight="1">
      <x:c r="A7" s="26" t="str">
        <x:v>09:25</x:v>
      </x:c>
      <x:c r="B7" s="26" t="str">
        <x:v>09:40</x:v>
      </x:c>
      <x:c r="C7" s="19" t="str">
        <x:v>Walk / transfer</x:v>
      </x:c>
      <x:c r="D7" s="19" t="str">
        <x:v>Ikoma → Toriimae</x:v>
      </x:c>
      <x:c r="E7" s="19" t="str">
        <x:v>Transit</x:v>
      </x:c>
      <x:c r="F7" s="55" t="str">
        <x:v>No</x:v>
      </x:c>
      <x:c r="G7" s="19" t="str">
        <x:v>10–15 min</x:v>
      </x:c>
      <x:c r="H7" s="19" t="str">
        <x:v>Follow signs to the cable railway and board promptly.</x:v>
      </x:c>
      <x:c r="I7" s="19" t="str">
        <x:v>Next cable may be roughly 40 minutes later.</x:v>
      </x:c>
      <x:c r="J7" s="19" t="str">
        <x:v>Cable ticket</x:v>
      </x:c>
      <x:c r="K7" s="57" t="n">
        <x:v>0</x:v>
      </x:c>
      <x:c r="L7" s="19" t="str">
        <x:v>https://www.ikomasanjou.com/access/</x:v>
      </x:c>
      <x:c r="M7" s="19" t="str">
        <x:v>Planned</x:v>
      </x:c>
    </x:row>
    <x:row r="8" ht="52" customHeight="1">
      <x:c r="A8" s="27" t="str">
        <x:v>09:40</x:v>
      </x:c>
      <x:c r="B8" s="27" t="str">
        <x:v>09:56</x:v>
      </x:c>
      <x:c r="C8" s="23" t="str">
        <x:v>Cable ascent</x:v>
      </x:c>
      <x:c r="D8" s="23" t="str">
        <x:v>Ikoma Cable</x:v>
      </x:c>
      <x:c r="E8" s="23" t="str">
        <x:v>Transit</x:v>
      </x:c>
      <x:c r="F8" s="54" t="str">
        <x:v>Yes</x:v>
      </x:c>
      <x:c r="G8" s="23" t="str">
        <x:v>~16 min</x:v>
      </x:c>
      <x:c r="H8" s="23" t="str">
        <x:v>Target the 09:40 service; arrival about 09:56.</x:v>
      </x:c>
      <x:c r="I8" s="23" t="str">
        <x:v>If missed, accept the slower day rather than rushing unsafely.</x:v>
      </x:c>
      <x:c r="J8" s="23" t="str">
        <x:v>Check current timetable</x:v>
      </x:c>
      <x:c r="K8" s="56" t="n">
        <x:v>2000</x:v>
      </x:c>
      <x:c r="L8" s="23" t="str">
        <x:v>https://eki.kintetsu.co.jp/english/T5?d=2&amp;dw=1&amp;slCode=665-1</x:v>
      </x:c>
      <x:c r="M8" s="23" t="str">
        <x:v>Planned</x:v>
      </x:c>
    </x:row>
    <x:row r="9" ht="52" customHeight="1">
      <x:c r="A9" s="26" t="str">
        <x:v>10:00</x:v>
      </x:c>
      <x:c r="B9" s="26" t="str">
        <x:v>11:00</x:v>
      </x:c>
      <x:c r="C9" s="19" t="str">
        <x:v>Sky Cycle first</x:v>
      </x:c>
      <x:c r="D9" s="19" t="str">
        <x:v>Ikoma Sanjo Amusement Park</x:v>
      </x:c>
      <x:c r="E9" s="19" t="str">
        <x:v>Ride</x:v>
      </x:c>
      <x:c r="F9" s="55" t="str">
        <x:v>No</x:v>
      </x:c>
      <x:c r="G9" s="19" t="str">
        <x:v>Queue-dependent</x:v>
      </x:c>
      <x:c r="H9" s="19" t="str">
        <x:v>Go directly to Sky Cycle before queues and weather changes build.</x:v>
      </x:c>
      <x:c r="I9" s="19" t="str">
        <x:v>If closed for wind/rain, switch to viewpoints and a shorter park visit.</x:v>
      </x:c>
      <x:c r="J9" s="19" t="str">
        <x:v>¥600 pp; park entry free</x:v>
      </x:c>
      <x:c r="K9" s="57" t="n">
        <x:v>1200</x:v>
      </x:c>
      <x:c r="L9" s="19" t="str">
        <x:v>https://www.ikomasanjou.com/</x:v>
      </x:c>
      <x:c r="M9" s="19" t="str">
        <x:v>Planned</x:v>
      </x:c>
    </x:row>
    <x:row r="10" ht="52" customHeight="1">
      <x:c r="A10" s="27" t="str">
        <x:v>11:00</x:v>
      </x:c>
      <x:c r="B10" s="27" t="str">
        <x:v>13:30</x:v>
      </x:c>
      <x:c r="C10" s="23" t="str">
        <x:v>Park / lunch / views</x:v>
      </x:c>
      <x:c r="D10" s="23" t="str">
        <x:v>Ikoma Sanjo</x:v>
      </x:c>
      <x:c r="E10" s="23" t="str">
        <x:v>Flex</x:v>
      </x:c>
      <x:c r="F10" s="54" t="str">
        <x:v>No</x:v>
      </x:c>
      <x:c r="G10" s="23" t="str">
        <x:v>2–2.5 hr</x:v>
      </x:c>
      <x:c r="H10" s="23" t="str">
        <x:v>Choose only what looks enjoyable. Keep the afternoon open.</x:v>
      </x:c>
      <x:c r="I10" s="23" t="str">
        <x:v>Descend early if visibility or energy is poor.</x:v>
      </x:c>
      <x:c r="J10" s="23" t="str">
        <x:v>Pay per ride</x:v>
      </x:c>
      <x:c r="K10" s="56" t="n">
        <x:v>3000</x:v>
      </x:c>
      <x:c r="L10" s="23" t="str">
        <x:v>https://www.ikomasanjou.com/news/index.php</x:v>
      </x:c>
      <x:c r="M10" s="23" t="str">
        <x:v>Optional</x:v>
      </x:c>
    </x:row>
    <x:row r="11" ht="52" customHeight="1">
      <x:c r="A11" s="26" t="str">
        <x:v>13:30</x:v>
      </x:c>
      <x:c r="B11" s="26" t="str">
        <x:v>15:00</x:v>
      </x:c>
      <x:c r="C11" s="19" t="str">
        <x:v>Descend + return</x:v>
      </x:c>
      <x:c r="D11" s="19" t="str">
        <x:v>Ikoma → Honmachi</x:v>
      </x:c>
      <x:c r="E11" s="19" t="str">
        <x:v>Transit</x:v>
      </x:c>
      <x:c r="F11" s="55" t="str">
        <x:v>No</x:v>
      </x:c>
      <x:c r="G11" s="19" t="str">
        <x:v>60–80 min</x:v>
      </x:c>
      <x:c r="H11" s="19" t="str">
        <x:v>Allow for cable wait and return to Osaka for a quiet evening.</x:v>
      </x:c>
      <x:c r="I11" s="19" t="str">
        <x:v>Later return only if the park is genuinely fun.</x:v>
      </x:c>
      <x:c r="J11" s="19" t="str">
        <x:v>IC card + cable</x:v>
      </x:c>
      <x:c r="K11" s="57" t="n">
        <x:v>1600</x:v>
      </x:c>
      <x:c r="L11" s="19" t="str">
        <x:v>https://maps.google.com/?q=Ikoma+Sanjo+to+Honmachi</x:v>
      </x:c>
      <x:c r="M11" s="19" t="str">
        <x:v>Planned</x:v>
      </x:c>
    </x:row>
    <x:row r="12">
      <x:c r="A12" s="48"/>
      <x:c r="B12" s="48"/>
      <x:c r="C12" s="48"/>
      <x:c r="D12" s="48"/>
      <x:c r="E12" s="48"/>
      <x:c r="F12" s="48"/>
      <x:c r="G12" s="48"/>
      <x:c r="H12" s="48"/>
      <x:c r="I12" s="48"/>
      <x:c r="J12" s="48"/>
      <x:c r="K12" s="48"/>
      <x:c r="L12" s="48"/>
      <x:c r="M12" s="48"/>
    </x:row>
    <x:row r="13" ht="22" customHeight="1">
      <x:c r="A13" s="50" t="str">
        <x:v>Ground reality / day rule</x:v>
      </x:c>
      <x:c r="B13" s="50" t="str">
        <x:v>Ground reality / day rule</x:v>
      </x:c>
      <x:c r="C13" s="50" t="str">
        <x:v>Ground reality / day rule</x:v>
      </x:c>
      <x:c r="D13" s="50" t="str">
        <x:v>Ground reality / day rule</x:v>
      </x:c>
      <x:c r="E13" s="50" t="str">
        <x:v>Ground reality / day rule</x:v>
      </x:c>
      <x:c r="F13" s="50" t="str">
        <x:v>Ground reality / day rule</x:v>
      </x:c>
      <x:c r="G13" s="50" t="str">
        <x:v>Ground reality / day rule</x:v>
      </x:c>
      <x:c r="H13" s="50" t="str">
        <x:v>Ground reality / day rule</x:v>
      </x:c>
      <x:c r="I13" s="50" t="str">
        <x:v>Ground reality / day rule</x:v>
      </x:c>
      <x:c r="J13" s="50" t="str">
        <x:v>Ground reality / day rule</x:v>
      </x:c>
      <x:c r="K13" s="50" t="str">
        <x:v>Ground reality / day rule</x:v>
      </x:c>
      <x:c r="L13" s="50" t="str">
        <x:v>Ground reality / day rule</x:v>
      </x:c>
      <x:c r="M13" s="50" t="str">
        <x:v>Ground reality / day rule</x:v>
      </x:c>
    </x:row>
    <x:row r="14" ht="40" customHeight="1">
      <x:c r="A14" s="64" t="str">
        <x:v>The official 2026 calendar shows the park open on Sat 26 Sep (and closed Fri 25). Check weather and ride notices after breakfast. High wind, heavy rain or low cloud is a reason to shorten or replace the trip—not a reason to stack an indoor evening.</x:v>
      </x:c>
      <x:c r="B14" s="65" t="str">
        <x:v>The official 2026 calendar shows the park open on Sat 26 Sep (and closed Fri 25). Check weather and ride notices after breakfast. High wind, heavy rain or low cloud is a reason to shorten or replace the trip—not a reason to stack an indoor evening.</x:v>
      </x:c>
      <x:c r="C14" s="65" t="str">
        <x:v>The official 2026 calendar shows the park open on Sat 26 Sep (and closed Fri 25). Check weather and ride notices after breakfast. High wind, heavy rain or low cloud is a reason to shorten or replace the trip—not a reason to stack an indoor evening.</x:v>
      </x:c>
      <x:c r="D14" s="65" t="str">
        <x:v>The official 2026 calendar shows the park open on Sat 26 Sep (and closed Fri 25). Check weather and ride notices after breakfast. High wind, heavy rain or low cloud is a reason to shorten or replace the trip—not a reason to stack an indoor evening.</x:v>
      </x:c>
      <x:c r="E14" s="65" t="str">
        <x:v>The official 2026 calendar shows the park open on Sat 26 Sep (and closed Fri 25). Check weather and ride notices after breakfast. High wind, heavy rain or low cloud is a reason to shorten or replace the trip—not a reason to stack an indoor evening.</x:v>
      </x:c>
      <x:c r="F14" s="65" t="str">
        <x:v>The official 2026 calendar shows the park open on Sat 26 Sep (and closed Fri 25). Check weather and ride notices after breakfast. High wind, heavy rain or low cloud is a reason to shorten or replace the trip—not a reason to stack an indoor evening.</x:v>
      </x:c>
      <x:c r="G14" s="65" t="str">
        <x:v>The official 2026 calendar shows the park open on Sat 26 Sep (and closed Fri 25). Check weather and ride notices after breakfast. High wind, heavy rain or low cloud is a reason to shorten or replace the trip—not a reason to stack an indoor evening.</x:v>
      </x:c>
      <x:c r="H14" s="65" t="str">
        <x:v>The official 2026 calendar shows the park open on Sat 26 Sep (and closed Fri 25). Check weather and ride notices after breakfast. High wind, heavy rain or low cloud is a reason to shorten or replace the trip—not a reason to stack an indoor evening.</x:v>
      </x:c>
      <x:c r="I14" s="65" t="str">
        <x:v>The official 2026 calendar shows the park open on Sat 26 Sep (and closed Fri 25). Check weather and ride notices after breakfast. High wind, heavy rain or low cloud is a reason to shorten or replace the trip—not a reason to stack an indoor evening.</x:v>
      </x:c>
      <x:c r="J14" s="65" t="str">
        <x:v>The official 2026 calendar shows the park open on Sat 26 Sep (and closed Fri 25). Check weather and ride notices after breakfast. High wind, heavy rain or low cloud is a reason to shorten or replace the trip—not a reason to stack an indoor evening.</x:v>
      </x:c>
      <x:c r="K14" s="65" t="str">
        <x:v>The official 2026 calendar shows the park open on Sat 26 Sep (and closed Fri 25). Check weather and ride notices after breakfast. High wind, heavy rain or low cloud is a reason to shorten or replace the trip—not a reason to stack an indoor evening.</x:v>
      </x:c>
      <x:c r="L14" s="65" t="str">
        <x:v>The official 2026 calendar shows the park open on Sat 26 Sep (and closed Fri 25). Check weather and ride notices after breakfast. High wind, heavy rain or low cloud is a reason to shorten or replace the trip—not a reason to stack an indoor evening.</x:v>
      </x:c>
      <x:c r="M14" s="66" t="str">
        <x:v>The official 2026 calendar shows the park open on Sat 26 Sep (and closed Fri 25). Check weather and ride notices after breakfast. High wind, heavy rain or low cloud is a reason to shorten or replace the trip—not a reason to stack an indoor evening.</x:v>
      </x:c>
    </x:row>
    <x:row r="15" ht="40" customHeight="1">
      <x:c r="A15" s="67" t="str">
        <x:v>The official 2026 calendar shows the park open on Sat 26 Sep (and closed Fri 25). Check weather and ride notices after breakfast. High wind, heavy rain or low cloud is a reason to shorten or replace the trip—not a reason to stack an indoor evening.</x:v>
      </x:c>
      <x:c r="B15" s="68" t="str">
        <x:v>The official 2026 calendar shows the park open on Sat 26 Sep (and closed Fri 25). Check weather and ride notices after breakfast. High wind, heavy rain or low cloud is a reason to shorten or replace the trip—not a reason to stack an indoor evening.</x:v>
      </x:c>
      <x:c r="C15" s="68" t="str">
        <x:v>The official 2026 calendar shows the park open on Sat 26 Sep (and closed Fri 25). Check weather and ride notices after breakfast. High wind, heavy rain or low cloud is a reason to shorten or replace the trip—not a reason to stack an indoor evening.</x:v>
      </x:c>
      <x:c r="D15" s="68" t="str">
        <x:v>The official 2026 calendar shows the park open on Sat 26 Sep (and closed Fri 25). Check weather and ride notices after breakfast. High wind, heavy rain or low cloud is a reason to shorten or replace the trip—not a reason to stack an indoor evening.</x:v>
      </x:c>
      <x:c r="E15" s="68" t="str">
        <x:v>The official 2026 calendar shows the park open on Sat 26 Sep (and closed Fri 25). Check weather and ride notices after breakfast. High wind, heavy rain or low cloud is a reason to shorten or replace the trip—not a reason to stack an indoor evening.</x:v>
      </x:c>
      <x:c r="F15" s="68" t="str">
        <x:v>The official 2026 calendar shows the park open on Sat 26 Sep (and closed Fri 25). Check weather and ride notices after breakfast. High wind, heavy rain or low cloud is a reason to shorten or replace the trip—not a reason to stack an indoor evening.</x:v>
      </x:c>
      <x:c r="G15" s="68" t="str">
        <x:v>The official 2026 calendar shows the park open on Sat 26 Sep (and closed Fri 25). Check weather and ride notices after breakfast. High wind, heavy rain or low cloud is a reason to shorten or replace the trip—not a reason to stack an indoor evening.</x:v>
      </x:c>
      <x:c r="H15" s="68" t="str">
        <x:v>The official 2026 calendar shows the park open on Sat 26 Sep (and closed Fri 25). Check weather and ride notices after breakfast. High wind, heavy rain or low cloud is a reason to shorten or replace the trip—not a reason to stack an indoor evening.</x:v>
      </x:c>
      <x:c r="I15" s="68" t="str">
        <x:v>The official 2026 calendar shows the park open on Sat 26 Sep (and closed Fri 25). Check weather and ride notices after breakfast. High wind, heavy rain or low cloud is a reason to shorten or replace the trip—not a reason to stack an indoor evening.</x:v>
      </x:c>
      <x:c r="J15" s="68" t="str">
        <x:v>The official 2026 calendar shows the park open on Sat 26 Sep (and closed Fri 25). Check weather and ride notices after breakfast. High wind, heavy rain or low cloud is a reason to shorten or replace the trip—not a reason to stack an indoor evening.</x:v>
      </x:c>
      <x:c r="K15" s="68" t="str">
        <x:v>The official 2026 calendar shows the park open on Sat 26 Sep (and closed Fri 25). Check weather and ride notices after breakfast. High wind, heavy rain or low cloud is a reason to shorten or replace the trip—not a reason to stack an indoor evening.</x:v>
      </x:c>
      <x:c r="L15" s="68" t="str">
        <x:v>The official 2026 calendar shows the park open on Sat 26 Sep (and closed Fri 25). Check weather and ride notices after breakfast. High wind, heavy rain or low cloud is a reason to shorten or replace the trip—not a reason to stack an indoor evening.</x:v>
      </x:c>
      <x:c r="M15" s="69" t="str">
        <x:v>The official 2026 calendar shows the park open on Sat 26 Sep (and closed Fri 25). Check weather and ride notices after breakfast. High wind, heavy rain or low cloud is a reason to shorten or replace the trip—not a reason to stack an indoor evening.</x:v>
      </x:c>
    </x:row>
    <x:row r="16">
      <x:c r="A16" s="3"/>
      <x:c r="B16" s="3"/>
      <x:c r="C16" s="3"/>
      <x:c r="D16" s="3"/>
      <x:c r="E16" s="3"/>
      <x:c r="F16" s="3"/>
      <x:c r="G16" s="3"/>
      <x:c r="H16" s="3"/>
      <x:c r="I16" s="3"/>
      <x:c r="J16" s="3"/>
      <x:c r="K16" s="3"/>
      <x:c r="L16" s="3"/>
      <x:c r="M16" s="3"/>
    </x:row>
    <x:row r="17">
      <x:c r="A17" s="3"/>
      <x:c r="B17" s="3"/>
      <x:c r="C17" s="3"/>
      <x:c r="D17" s="3"/>
      <x:c r="E17" s="3"/>
      <x:c r="F17" s="3"/>
      <x:c r="G17" s="3"/>
      <x:c r="H17" s="3"/>
      <x:c r="I17" s="3"/>
      <x:c r="J17" s="3"/>
      <x:c r="K17" s="3"/>
      <x:c r="L17" s="3"/>
      <x:c r="M17" s="3"/>
    </x:row>
    <x:row r="18">
      <x:c r="A18" s="3"/>
      <x:c r="B18" s="3"/>
      <x:c r="C18" s="3"/>
      <x:c r="D18" s="3"/>
      <x:c r="E18" s="3"/>
      <x:c r="F18" s="3"/>
      <x:c r="G18" s="3"/>
      <x:c r="H18" s="3"/>
      <x:c r="I18" s="3"/>
      <x:c r="J18" s="3"/>
      <x:c r="K18" s="3"/>
      <x:c r="L18" s="3"/>
      <x:c r="M18" s="3"/>
    </x:row>
    <x:row r="19">
      <x:c r="A19" s="3"/>
      <x:c r="B19" s="3"/>
      <x:c r="C19" s="3"/>
      <x:c r="D19" s="3"/>
      <x:c r="E19" s="3"/>
      <x:c r="F19" s="3"/>
      <x:c r="G19" s="3"/>
      <x:c r="H19" s="3"/>
      <x:c r="I19" s="3"/>
      <x:c r="J19" s="3"/>
      <x:c r="K19" s="3"/>
      <x:c r="L19" s="3"/>
      <x:c r="M19" s="3"/>
    </x:row>
    <x:row r="20">
      <x:c r="A20" s="3"/>
      <x:c r="B20" s="3"/>
      <x:c r="C20" s="3"/>
      <x:c r="D20" s="3"/>
      <x:c r="E20" s="3"/>
      <x:c r="F20" s="3"/>
      <x:c r="G20" s="3"/>
      <x:c r="H20" s="3"/>
      <x:c r="I20" s="3"/>
      <x:c r="J20" s="3"/>
      <x:c r="K20" s="3"/>
      <x:c r="L20" s="3"/>
      <x:c r="M20" s="3"/>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sheetData>
  <x:mergeCells>
    <x:mergeCell ref="A1:M2"/>
    <x:mergeCell ref="A3:M3"/>
    <x:mergeCell ref="A13:M13"/>
    <x:mergeCell ref="A14:M15"/>
  </x:mergeCells>
  <x:conditionalFormatting sqref="M6:M11">
    <x:cfRule type="containsText" dxfId="6" priority="1" operator="containsText" text="Planned"/>
    <x:cfRule type="containsText" dxfId="7" priority="2" operator="containsText" text="Optional"/>
    <x:cfRule type="containsText" dxfId="8" priority="3" operator="containsText" text="Backup"/>
  </x:conditionalFormatting>
  <x:dataValidations count="1">
    <x:dataValidation type="list" sqref="M6:M11">
      <x:formula1>"Planned,Optional,Backup,Done,Skipped"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22" hidden="0" customWidth="1"/>
    <x:col min="4" max="4" width="24" hidden="0" customWidth="1"/>
    <x:col min="5" max="5" width="14" hidden="0" customWidth="1"/>
    <x:col min="6" max="6" width="14" hidden="0" customWidth="1"/>
    <x:col min="7" max="7" width="22" hidden="0" customWidth="1"/>
    <x:col min="8" max="8" width="38" hidden="0" customWidth="1"/>
    <x:col min="9" max="9" width="32" hidden="0" customWidth="1"/>
    <x:col min="10" max="10" width="27" hidden="0" customWidth="1"/>
    <x:col min="11" max="11" width="15" hidden="0" customWidth="1"/>
    <x:col min="12" max="12" width="24" hidden="0" customWidth="1"/>
    <x:col min="13" max="13" width="14" hidden="0" customWidth="1"/>
  </x:cols>
  <x:sheetData>
    <x:row r="1" ht="32" customHeight="1">
      <x:c r="A1" s="49" t="str">
        <x:v>Sunday · 27 September · Departure day</x:v>
      </x:c>
      <x:c r="B1" s="49" t="str">
        <x:v>Sunday · 27 September · Departure day</x:v>
      </x:c>
      <x:c r="C1" s="49" t="str">
        <x:v>Sunday · 27 September · Departure day</x:v>
      </x:c>
      <x:c r="D1" s="49" t="str">
        <x:v>Sunday · 27 September · Departure day</x:v>
      </x:c>
      <x:c r="E1" s="49" t="str">
        <x:v>Sunday · 27 September · Departure day</x:v>
      </x:c>
      <x:c r="F1" s="49" t="str">
        <x:v>Sunday · 27 September · Departure day</x:v>
      </x:c>
      <x:c r="G1" s="49" t="str">
        <x:v>Sunday · 27 September · Departure day</x:v>
      </x:c>
      <x:c r="H1" s="49" t="str">
        <x:v>Sunday · 27 September · Departure day</x:v>
      </x:c>
      <x:c r="I1" s="49" t="str">
        <x:v>Sunday · 27 September · Departure day</x:v>
      </x:c>
      <x:c r="J1" s="49" t="str">
        <x:v>Sunday · 27 September · Departure day</x:v>
      </x:c>
      <x:c r="K1" s="49" t="str">
        <x:v>Sunday · 27 September · Departure day</x:v>
      </x:c>
      <x:c r="L1" s="49" t="str">
        <x:v>Sunday · 27 September · Departure day</x:v>
      </x:c>
      <x:c r="M1" s="49" t="str">
        <x:v>Sunday · 27 September · Departure day</x:v>
      </x:c>
    </x:row>
    <x:row r="2" ht="32" customHeight="1">
      <x:c r="A2" s="49" t="str">
        <x:v>Sunday · 27 September · Departure day</x:v>
      </x:c>
      <x:c r="B2" s="49" t="str">
        <x:v>Sunday · 27 September · Departure day</x:v>
      </x:c>
      <x:c r="C2" s="49" t="str">
        <x:v>Sunday · 27 September · Departure day</x:v>
      </x:c>
      <x:c r="D2" s="49" t="str">
        <x:v>Sunday · 27 September · Departure day</x:v>
      </x:c>
      <x:c r="E2" s="49" t="str">
        <x:v>Sunday · 27 September · Departure day</x:v>
      </x:c>
      <x:c r="F2" s="49" t="str">
        <x:v>Sunday · 27 September · Departure day</x:v>
      </x:c>
      <x:c r="G2" s="49" t="str">
        <x:v>Sunday · 27 September · Departure day</x:v>
      </x:c>
      <x:c r="H2" s="49" t="str">
        <x:v>Sunday · 27 September · Departure day</x:v>
      </x:c>
      <x:c r="I2" s="49" t="str">
        <x:v>Sunday · 27 September · Departure day</x:v>
      </x:c>
      <x:c r="J2" s="49" t="str">
        <x:v>Sunday · 27 September · Departure day</x:v>
      </x:c>
      <x:c r="K2" s="49" t="str">
        <x:v>Sunday · 27 September · Departure day</x:v>
      </x:c>
      <x:c r="L2" s="49" t="str">
        <x:v>Sunday · 27 September · Departure day</x:v>
      </x:c>
      <x:c r="M2" s="49" t="str">
        <x:v>Sunday · 27 September · Departure day</x:v>
      </x:c>
    </x:row>
    <x:row r="3" ht="28" customHeight="1">
      <x:c r="A3" s="10" t="str">
        <x:v>Train time decides the day. Keep every Osaka stop disposable and protect the Shinkansen buffer.</x:v>
      </x:c>
      <x:c r="B3" s="10" t="str">
        <x:v>Train time decides the day. Keep every Osaka stop disposable and protect the Shinkansen buffer.</x:v>
      </x:c>
      <x:c r="C3" s="10" t="str">
        <x:v>Train time decides the day. Keep every Osaka stop disposable and protect the Shinkansen buffer.</x:v>
      </x:c>
      <x:c r="D3" s="10" t="str">
        <x:v>Train time decides the day. Keep every Osaka stop disposable and protect the Shinkansen buffer.</x:v>
      </x:c>
      <x:c r="E3" s="10" t="str">
        <x:v>Train time decides the day. Keep every Osaka stop disposable and protect the Shinkansen buffer.</x:v>
      </x:c>
      <x:c r="F3" s="10" t="str">
        <x:v>Train time decides the day. Keep every Osaka stop disposable and protect the Shinkansen buffer.</x:v>
      </x:c>
      <x:c r="G3" s="10" t="str">
        <x:v>Train time decides the day. Keep every Osaka stop disposable and protect the Shinkansen buffer.</x:v>
      </x:c>
      <x:c r="H3" s="10" t="str">
        <x:v>Train time decides the day. Keep every Osaka stop disposable and protect the Shinkansen buffer.</x:v>
      </x:c>
      <x:c r="I3" s="10" t="str">
        <x:v>Train time decides the day. Keep every Osaka stop disposable and protect the Shinkansen buffer.</x:v>
      </x:c>
      <x:c r="J3" s="10" t="str">
        <x:v>Train time decides the day. Keep every Osaka stop disposable and protect the Shinkansen buffer.</x:v>
      </x:c>
      <x:c r="K3" s="10" t="str">
        <x:v>Train time decides the day. Keep every Osaka stop disposable and protect the Shinkansen buffer.</x:v>
      </x:c>
      <x:c r="L3" s="10" t="str">
        <x:v>Train time decides the day. Keep every Osaka stop disposable and protect the Shinkansen buffer.</x:v>
      </x:c>
      <x:c r="M3" s="10" t="str">
        <x:v>Train time decides the day. Keep every Osaka stop disposable and protect the Shinkansen buffer.</x:v>
      </x:c>
    </x:row>
    <x:row r="4">
      <x:c r="A4" s="48"/>
      <x:c r="B4" s="48"/>
      <x:c r="C4" s="48"/>
      <x:c r="D4" s="48"/>
      <x:c r="E4" s="48"/>
      <x:c r="F4" s="48"/>
      <x:c r="G4" s="48"/>
      <x:c r="H4" s="48"/>
      <x:c r="I4" s="48"/>
      <x:c r="J4" s="48"/>
      <x:c r="K4" s="48"/>
      <x:c r="L4" s="48"/>
      <x:c r="M4" s="48"/>
    </x:row>
    <x:row r="5" ht="30" customHeight="1">
      <x:c r="A5" s="16" t="str">
        <x:v>Start</x:v>
      </x:c>
      <x:c r="B5" s="16" t="str">
        <x:v>End</x:v>
      </x:c>
      <x:c r="C5" s="16" t="str">
        <x:v>Block</x:v>
      </x:c>
      <x:c r="D5" s="16" t="str">
        <x:v>Location</x:v>
      </x:c>
      <x:c r="E5" s="16" t="str">
        <x:v>Type</x:v>
      </x:c>
      <x:c r="F5" s="16" t="str">
        <x:v>Time-sensitive?</x:v>
      </x:c>
      <x:c r="G5" s="16" t="str">
        <x:v>Transit / duration</x:v>
      </x:c>
      <x:c r="H5" s="16" t="str">
        <x:v>Plan</x:v>
      </x:c>
      <x:c r="I5" s="16" t="str">
        <x:v>Backup / flex</x:v>
      </x:c>
      <x:c r="J5" s="16" t="str">
        <x:v>Booking or ticket</x:v>
      </x:c>
      <x:c r="K5" s="16" t="str">
        <x:v>Est. cost (2)</x:v>
      </x:c>
      <x:c r="L5" s="16" t="str">
        <x:v>Source</x:v>
      </x:c>
      <x:c r="M5" s="16" t="str">
        <x:v>Status</x:v>
      </x:c>
    </x:row>
    <x:row r="6" ht="52" customHeight="1">
      <x:c r="A6" s="27" t="str">
        <x:v>Morning</x:v>
      </x:c>
      <x:c r="B6" s="27" t="str">
        <x:v>Checkout</x:v>
      </x:c>
      <x:c r="C6" s="23" t="str">
        <x:v>Pack + checkout</x:v>
      </x:c>
      <x:c r="D6" s="23" t="str">
        <x:v>Honmachi stay</x:v>
      </x:c>
      <x:c r="E6" s="23" t="str">
        <x:v>Logistics</x:v>
      </x:c>
      <x:c r="F6" s="54" t="str">
        <x:v>No</x:v>
      </x:c>
      <x:c r="G6" s="23" t="str">
        <x:v>Variable</x:v>
      </x:c>
      <x:c r="H6" s="23" t="str">
        <x:v>Pack first; store luggage only if the listing allows or use station lockers.</x:v>
      </x:c>
      <x:c r="I6" s="23" t="str">
        <x:v>Go directly to Shin-Osaka if timing is tight.</x:v>
      </x:c>
      <x:c r="J6" s="23" t="str">
        <x:v>Confirm checkout/luggage rules</x:v>
      </x:c>
      <x:c r="K6" s="56" t="n">
        <x:v>0</x:v>
      </x:c>
      <x:c r="L6" s="23" t="str"/>
      <x:c r="M6" s="23" t="str">
        <x:v>Planned</x:v>
      </x:c>
    </x:row>
    <x:row r="7" ht="52" customHeight="1">
      <x:c r="A7" s="26" t="str">
        <x:v>11:00</x:v>
      </x:c>
      <x:c r="B7" s="26" t="str">
        <x:v>12:00</x:v>
      </x:c>
      <x:c r="C7" s="19" t="str">
        <x:v>Browse</x:v>
      </x:c>
      <x:c r="D7" s="19" t="str">
        <x:v>B.B. / American Village</x:v>
      </x:c>
      <x:c r="E7" s="19" t="str">
        <x:v>Shopping</x:v>
      </x:c>
      <x:c r="F7" s="55" t="str">
        <x:v>No</x:v>
      </x:c>
      <x:c r="G7" s="19" t="str">
        <x:v>14–18 min walk from Honmachi</x:v>
      </x:c>
      <x:c r="H7" s="19" t="str">
        <x:v>Only if departure is after ~17:00. Verify prices/service before purchasing; browsing is the low-risk option.</x:v>
      </x:c>
      <x:c r="I7" s="19" t="str">
        <x:v>Move to Sep 25 after WAD if train is earlier.</x:v>
      </x:c>
      <x:c r="J7" s="19" t="str">
        <x:v>No appointment; opens around 11:00</x:v>
      </x:c>
      <x:c r="K7" s="57" t="n">
        <x:v>0</x:v>
      </x:c>
      <x:c r="L7" s="19" t="str">
        <x:v>https://maps.apple.com/place?place-id=IC384D8155C203F3A</x:v>
      </x:c>
      <x:c r="M7" s="19" t="str">
        <x:v>Optional</x:v>
      </x:c>
    </x:row>
    <x:row r="8" ht="52" customHeight="1">
      <x:c r="A8" s="27" t="str">
        <x:v>12:30</x:v>
      </x:c>
      <x:c r="B8" s="27" t="str">
        <x:v>14:00</x:v>
      </x:c>
      <x:c r="C8" s="23" t="str">
        <x:v>Park + lunch</x:v>
      </x:c>
      <x:c r="D8" s="23" t="str">
        <x:v>Grand Green Osaka</x:v>
      </x:c>
      <x:c r="E8" s="23" t="str">
        <x:v>Public realm</x:v>
      </x:c>
      <x:c r="F8" s="54" t="str">
        <x:v>No</x:v>
      </x:c>
      <x:c r="G8" s="23" t="str">
        <x:v>18–25 min from Honmachi</x:v>
      </x:c>
      <x:c r="H8" s="23" t="str">
        <x:v>Walk the Umekita park, have a simple lunch, and stay near the rail corridor.</x:v>
      </x:c>
      <x:c r="I8" s="23" t="str">
        <x:v>Use as a short stop on arrival day instead.</x:v>
      </x:c>
      <x:c r="J8" s="23" t="str">
        <x:v>Mostly open-air; no appointment</x:v>
      </x:c>
      <x:c r="K8" s="56" t="n">
        <x:v>3000</x:v>
      </x:c>
      <x:c r="L8" s="23" t="str">
        <x:v>https://umekita.com/</x:v>
      </x:c>
      <x:c r="M8" s="23" t="str">
        <x:v>Optional</x:v>
      </x:c>
    </x:row>
    <x:row r="9" ht="52" customHeight="1">
      <x:c r="A9" s="26" t="str">
        <x:v>Train - 90m</x:v>
      </x:c>
      <x:c r="B9" s="26" t="str">
        <x:v>Train - 45m</x:v>
      </x:c>
      <x:c r="C9" s="19" t="str">
        <x:v>To Shin-Osaka</x:v>
      </x:c>
      <x:c r="D9" s="19" t="str">
        <x:v>Osaka/Umeda → Shin-Osaka</x:v>
      </x:c>
      <x:c r="E9" s="19" t="str">
        <x:v>Transit</x:v>
      </x:c>
      <x:c r="F9" s="55" t="str">
        <x:v>Yes</x:v>
      </x:c>
      <x:c r="G9" s="19" t="str">
        <x:v>20–35 min incl. walk</x:v>
      </x:c>
      <x:c r="H9" s="19" t="str">
        <x:v>Aim to reach the Shinkansen gate 30–45 min before departure, more with luggage/holiday spillover.</x:v>
      </x:c>
      <x:c r="I9" s="19" t="str">
        <x:v>Skip all sightseeing.</x:v>
      </x:c>
      <x:c r="J9" s="19" t="str">
        <x:v>Reserved Shinkansen seat recommended</x:v>
      </x:c>
      <x:c r="K9" s="57" t="n">
        <x:v>600</x:v>
      </x:c>
      <x:c r="L9" s="19" t="str">
        <x:v>https://maps.google.com/?q=Grand+Green+Osaka+to+Shin-Osaka+Station</x:v>
      </x:c>
      <x:c r="M9" s="19" t="str">
        <x:v>Planned</x:v>
      </x:c>
    </x:row>
    <x:row r="10" ht="52" customHeight="1">
      <x:c r="A10" s="27" t="str">
        <x:v>Confirmed time</x:v>
      </x:c>
      <x:c r="B10" s="27" t="str">
        <x:v>+2h21m</x:v>
      </x:c>
      <x:c r="C10" s="23" t="str">
        <x:v>Shinkansen</x:v>
      </x:c>
      <x:c r="D10" s="23" t="str">
        <x:v>Shin-Osaka → Tokyo</x:v>
      </x:c>
      <x:c r="E10" s="23" t="str">
        <x:v>Intercity</x:v>
      </x:c>
      <x:c r="F10" s="54" t="str">
        <x:v>No</x:v>
      </x:c>
      <x:c r="G10" s="23" t="str">
        <x:v>Fastest Nozomi ~2h21</x:v>
      </x:c>
      <x:c r="H10" s="23" t="str">
        <x:v>Board the reserved train with food/water bought before the platform.</x:v>
      </x:c>
      <x:c r="I10" s="23" t="str">
        <x:v>Use later train only if ticket conditions allow.</x:v>
      </x:c>
      <x:c r="J10" s="23" t="str">
        <x:v>Book exact train</x:v>
      </x:c>
      <x:c r="K10" s="56" t="n">
        <x:v>0</x:v>
      </x:c>
      <x:c r="L10" s="23" t="str">
        <x:v>https://global.jr-central.co.jp/en/company/ir/annualreport/_pdf/annualreport2025.pdf</x:v>
      </x:c>
      <x:c r="M10" s="23" t="str">
        <x:v>Planned</x:v>
      </x:c>
    </x:row>
    <x:row r="11">
      <x:c r="A11" s="48"/>
      <x:c r="B11" s="48"/>
      <x:c r="C11" s="48"/>
      <x:c r="D11" s="48"/>
      <x:c r="E11" s="48"/>
      <x:c r="F11" s="48"/>
      <x:c r="G11" s="48"/>
      <x:c r="H11" s="48"/>
      <x:c r="I11" s="48"/>
      <x:c r="J11" s="48"/>
      <x:c r="K11" s="48"/>
      <x:c r="L11" s="48"/>
      <x:c r="M11" s="48"/>
    </x:row>
    <x:row r="12" ht="22" customHeight="1">
      <x:c r="A12" s="50" t="str">
        <x:v>Ground reality / day rule</x:v>
      </x:c>
      <x:c r="B12" s="50" t="str">
        <x:v>Ground reality / day rule</x:v>
      </x:c>
      <x:c r="C12" s="50" t="str">
        <x:v>Ground reality / day rule</x:v>
      </x:c>
      <x:c r="D12" s="50" t="str">
        <x:v>Ground reality / day rule</x:v>
      </x:c>
      <x:c r="E12" s="50" t="str">
        <x:v>Ground reality / day rule</x:v>
      </x:c>
      <x:c r="F12" s="50" t="str">
        <x:v>Ground reality / day rule</x:v>
      </x:c>
      <x:c r="G12" s="50" t="str">
        <x:v>Ground reality / day rule</x:v>
      </x:c>
      <x:c r="H12" s="50" t="str">
        <x:v>Ground reality / day rule</x:v>
      </x:c>
      <x:c r="I12" s="50" t="str">
        <x:v>Ground reality / day rule</x:v>
      </x:c>
      <x:c r="J12" s="50" t="str">
        <x:v>Ground reality / day rule</x:v>
      </x:c>
      <x:c r="K12" s="50" t="str">
        <x:v>Ground reality / day rule</x:v>
      </x:c>
      <x:c r="L12" s="50" t="str">
        <x:v>Ground reality / day rule</x:v>
      </x:c>
      <x:c r="M12" s="50" t="str">
        <x:v>Ground reality / day rule</x:v>
      </x:c>
    </x:row>
    <x:row r="13" ht="40" customHeight="1">
      <x:c r="A13" s="64" t="str">
        <x:v>If the Tokyo train departs before about 17:00, do not attempt both B.B. and Grand Green. Move B.B. to Sep 25 and treat Grand Green as an arrival-day or 30-minute departure-day bonus.</x:v>
      </x:c>
      <x:c r="B13" s="65" t="str">
        <x:v>If the Tokyo train departs before about 17:00, do not attempt both B.B. and Grand Green. Move B.B. to Sep 25 and treat Grand Green as an arrival-day or 30-minute departure-day bonus.</x:v>
      </x:c>
      <x:c r="C13" s="65" t="str">
        <x:v>If the Tokyo train departs before about 17:00, do not attempt both B.B. and Grand Green. Move B.B. to Sep 25 and treat Grand Green as an arrival-day or 30-minute departure-day bonus.</x:v>
      </x:c>
      <x:c r="D13" s="65" t="str">
        <x:v>If the Tokyo train departs before about 17:00, do not attempt both B.B. and Grand Green. Move B.B. to Sep 25 and treat Grand Green as an arrival-day or 30-minute departure-day bonus.</x:v>
      </x:c>
      <x:c r="E13" s="65" t="str">
        <x:v>If the Tokyo train departs before about 17:00, do not attempt both B.B. and Grand Green. Move B.B. to Sep 25 and treat Grand Green as an arrival-day or 30-minute departure-day bonus.</x:v>
      </x:c>
      <x:c r="F13" s="65" t="str">
        <x:v>If the Tokyo train departs before about 17:00, do not attempt both B.B. and Grand Green. Move B.B. to Sep 25 and treat Grand Green as an arrival-day or 30-minute departure-day bonus.</x:v>
      </x:c>
      <x:c r="G13" s="65" t="str">
        <x:v>If the Tokyo train departs before about 17:00, do not attempt both B.B. and Grand Green. Move B.B. to Sep 25 and treat Grand Green as an arrival-day or 30-minute departure-day bonus.</x:v>
      </x:c>
      <x:c r="H13" s="65" t="str">
        <x:v>If the Tokyo train departs before about 17:00, do not attempt both B.B. and Grand Green. Move B.B. to Sep 25 and treat Grand Green as an arrival-day or 30-minute departure-day bonus.</x:v>
      </x:c>
      <x:c r="I13" s="65" t="str">
        <x:v>If the Tokyo train departs before about 17:00, do not attempt both B.B. and Grand Green. Move B.B. to Sep 25 and treat Grand Green as an arrival-day or 30-minute departure-day bonus.</x:v>
      </x:c>
      <x:c r="J13" s="65" t="str">
        <x:v>If the Tokyo train departs before about 17:00, do not attempt both B.B. and Grand Green. Move B.B. to Sep 25 and treat Grand Green as an arrival-day or 30-minute departure-day bonus.</x:v>
      </x:c>
      <x:c r="K13" s="65" t="str">
        <x:v>If the Tokyo train departs before about 17:00, do not attempt both B.B. and Grand Green. Move B.B. to Sep 25 and treat Grand Green as an arrival-day or 30-minute departure-day bonus.</x:v>
      </x:c>
      <x:c r="L13" s="65" t="str">
        <x:v>If the Tokyo train departs before about 17:00, do not attempt both B.B. and Grand Green. Move B.B. to Sep 25 and treat Grand Green as an arrival-day or 30-minute departure-day bonus.</x:v>
      </x:c>
      <x:c r="M13" s="66" t="str">
        <x:v>If the Tokyo train departs before about 17:00, do not attempt both B.B. and Grand Green. Move B.B. to Sep 25 and treat Grand Green as an arrival-day or 30-minute departure-day bonus.</x:v>
      </x:c>
    </x:row>
    <x:row r="14" ht="40" customHeight="1">
      <x:c r="A14" s="67" t="str">
        <x:v>If the Tokyo train departs before about 17:00, do not attempt both B.B. and Grand Green. Move B.B. to Sep 25 and treat Grand Green as an arrival-day or 30-minute departure-day bonus.</x:v>
      </x:c>
      <x:c r="B14" s="68" t="str">
        <x:v>If the Tokyo train departs before about 17:00, do not attempt both B.B. and Grand Green. Move B.B. to Sep 25 and treat Grand Green as an arrival-day or 30-minute departure-day bonus.</x:v>
      </x:c>
      <x:c r="C14" s="68" t="str">
        <x:v>If the Tokyo train departs before about 17:00, do not attempt both B.B. and Grand Green. Move B.B. to Sep 25 and treat Grand Green as an arrival-day or 30-minute departure-day bonus.</x:v>
      </x:c>
      <x:c r="D14" s="68" t="str">
        <x:v>If the Tokyo train departs before about 17:00, do not attempt both B.B. and Grand Green. Move B.B. to Sep 25 and treat Grand Green as an arrival-day or 30-minute departure-day bonus.</x:v>
      </x:c>
      <x:c r="E14" s="68" t="str">
        <x:v>If the Tokyo train departs before about 17:00, do not attempt both B.B. and Grand Green. Move B.B. to Sep 25 and treat Grand Green as an arrival-day or 30-minute departure-day bonus.</x:v>
      </x:c>
      <x:c r="F14" s="68" t="str">
        <x:v>If the Tokyo train departs before about 17:00, do not attempt both B.B. and Grand Green. Move B.B. to Sep 25 and treat Grand Green as an arrival-day or 30-minute departure-day bonus.</x:v>
      </x:c>
      <x:c r="G14" s="68" t="str">
        <x:v>If the Tokyo train departs before about 17:00, do not attempt both B.B. and Grand Green. Move B.B. to Sep 25 and treat Grand Green as an arrival-day or 30-minute departure-day bonus.</x:v>
      </x:c>
      <x:c r="H14" s="68" t="str">
        <x:v>If the Tokyo train departs before about 17:00, do not attempt both B.B. and Grand Green. Move B.B. to Sep 25 and treat Grand Green as an arrival-day or 30-minute departure-day bonus.</x:v>
      </x:c>
      <x:c r="I14" s="68" t="str">
        <x:v>If the Tokyo train departs before about 17:00, do not attempt both B.B. and Grand Green. Move B.B. to Sep 25 and treat Grand Green as an arrival-day or 30-minute departure-day bonus.</x:v>
      </x:c>
      <x:c r="J14" s="68" t="str">
        <x:v>If the Tokyo train departs before about 17:00, do not attempt both B.B. and Grand Green. Move B.B. to Sep 25 and treat Grand Green as an arrival-day or 30-minute departure-day bonus.</x:v>
      </x:c>
      <x:c r="K14" s="68" t="str">
        <x:v>If the Tokyo train departs before about 17:00, do not attempt both B.B. and Grand Green. Move B.B. to Sep 25 and treat Grand Green as an arrival-day or 30-minute departure-day bonus.</x:v>
      </x:c>
      <x:c r="L14" s="68" t="str">
        <x:v>If the Tokyo train departs before about 17:00, do not attempt both B.B. and Grand Green. Move B.B. to Sep 25 and treat Grand Green as an arrival-day or 30-minute departure-day bonus.</x:v>
      </x:c>
      <x:c r="M14" s="69" t="str">
        <x:v>If the Tokyo train departs before about 17:00, do not attempt both B.B. and Grand Green. Move B.B. to Sep 25 and treat Grand Green as an arrival-day or 30-minute departure-day bonus.</x:v>
      </x:c>
    </x:row>
    <x:row r="15">
      <x:c r="A15" s="3"/>
      <x:c r="B15" s="3"/>
      <x:c r="C15" s="3"/>
      <x:c r="D15" s="3"/>
      <x:c r="E15" s="3"/>
      <x:c r="F15" s="3"/>
      <x:c r="G15" s="3"/>
      <x:c r="H15" s="3"/>
      <x:c r="I15" s="3"/>
      <x:c r="J15" s="3"/>
      <x:c r="K15" s="3"/>
      <x:c r="L15" s="3"/>
      <x:c r="M15" s="3"/>
    </x:row>
    <x:row r="16">
      <x:c r="A16" s="3"/>
      <x:c r="B16" s="3"/>
      <x:c r="C16" s="3"/>
      <x:c r="D16" s="3"/>
      <x:c r="E16" s="3"/>
      <x:c r="F16" s="3"/>
      <x:c r="G16" s="3"/>
      <x:c r="H16" s="3"/>
      <x:c r="I16" s="3"/>
      <x:c r="J16" s="3"/>
      <x:c r="K16" s="3"/>
      <x:c r="L16" s="3"/>
      <x:c r="M16" s="3"/>
    </x:row>
    <x:row r="17">
      <x:c r="A17" s="3"/>
      <x:c r="B17" s="3"/>
      <x:c r="C17" s="3"/>
      <x:c r="D17" s="3"/>
      <x:c r="E17" s="3"/>
      <x:c r="F17" s="3"/>
      <x:c r="G17" s="3"/>
      <x:c r="H17" s="3"/>
      <x:c r="I17" s="3"/>
      <x:c r="J17" s="3"/>
      <x:c r="K17" s="3"/>
      <x:c r="L17" s="3"/>
      <x:c r="M17" s="3"/>
    </x:row>
    <x:row r="18">
      <x:c r="A18" s="3"/>
      <x:c r="B18" s="3"/>
      <x:c r="C18" s="3"/>
      <x:c r="D18" s="3"/>
      <x:c r="E18" s="3"/>
      <x:c r="F18" s="3"/>
      <x:c r="G18" s="3"/>
      <x:c r="H18" s="3"/>
      <x:c r="I18" s="3"/>
      <x:c r="J18" s="3"/>
      <x:c r="K18" s="3"/>
      <x:c r="L18" s="3"/>
      <x:c r="M18" s="3"/>
    </x:row>
    <x:row r="19">
      <x:c r="A19" s="3"/>
      <x:c r="B19" s="3"/>
      <x:c r="C19" s="3"/>
      <x:c r="D19" s="3"/>
      <x:c r="E19" s="3"/>
      <x:c r="F19" s="3"/>
      <x:c r="G19" s="3"/>
      <x:c r="H19" s="3"/>
      <x:c r="I19" s="3"/>
      <x:c r="J19" s="3"/>
      <x:c r="K19" s="3"/>
      <x:c r="L19" s="3"/>
      <x:c r="M19" s="3"/>
    </x:row>
    <x:row r="20">
      <x:c r="A20" s="3"/>
      <x:c r="B20" s="3"/>
      <x:c r="C20" s="3"/>
      <x:c r="D20" s="3"/>
      <x:c r="E20" s="3"/>
      <x:c r="F20" s="3"/>
      <x:c r="G20" s="3"/>
      <x:c r="H20" s="3"/>
      <x:c r="I20" s="3"/>
      <x:c r="J20" s="3"/>
      <x:c r="K20" s="3"/>
      <x:c r="L20" s="3"/>
      <x:c r="M20" s="3"/>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sheetData>
  <x:mergeCells>
    <x:mergeCell ref="A1:M2"/>
    <x:mergeCell ref="A3:M3"/>
    <x:mergeCell ref="A12:M12"/>
    <x:mergeCell ref="A13:M14"/>
  </x:mergeCells>
  <x:conditionalFormatting sqref="M6:M10">
    <x:cfRule type="containsText" dxfId="9" priority="1" operator="containsText" text="Planned"/>
    <x:cfRule type="containsText" dxfId="10" priority="2" operator="containsText" text="Optional"/>
    <x:cfRule type="containsText" dxfId="11" priority="3" operator="containsText" text="Backup"/>
  </x:conditionalFormatting>
  <x:dataValidations count="1">
    <x:dataValidation type="list" sqref="M6:M10">
      <x:formula1>"Planned,Optional,Backup,Done,Skipped"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20" hidden="0" customWidth="1"/>
    <x:col min="3" max="3" width="16" hidden="0" customWidth="1"/>
    <x:col min="4" max="4" width="16" hidden="0" customWidth="1"/>
    <x:col min="5" max="5" width="22" hidden="0" customWidth="1"/>
    <x:col min="6" max="6" width="22" hidden="0" customWidth="1"/>
    <x:col min="7" max="7" width="25" hidden="0" customWidth="1"/>
    <x:col min="8" max="8" width="19" hidden="0" customWidth="1"/>
    <x:col min="9" max="9" width="42" hidden="0" customWidth="1"/>
    <x:col min="10" max="10" width="29" hidden="0" customWidth="1"/>
    <x:col min="11" max="11" width="38" hidden="0" customWidth="1"/>
    <x:col min="12" max="12" width="42" hidden="0" customWidth="1"/>
  </x:cols>
  <x:sheetData>
    <x:row r="1" ht="32" customHeight="1">
      <x:c r="A1" s="49" t="str">
        <x:v>Places, commutes &amp; official links</x:v>
      </x:c>
      <x:c r="B1" s="49" t="str">
        <x:v>Places, commutes &amp; official links</x:v>
      </x:c>
      <x:c r="C1" s="49" t="str">
        <x:v>Places, commutes &amp; official links</x:v>
      </x:c>
      <x:c r="D1" s="49" t="str">
        <x:v>Places, commutes &amp; official links</x:v>
      </x:c>
      <x:c r="E1" s="49" t="str">
        <x:v>Places, commutes &amp; official links</x:v>
      </x:c>
      <x:c r="F1" s="49" t="str">
        <x:v>Places, commutes &amp; official links</x:v>
      </x:c>
      <x:c r="G1" s="49" t="str">
        <x:v>Places, commutes &amp; official links</x:v>
      </x:c>
      <x:c r="H1" s="49" t="str">
        <x:v>Places, commutes &amp; official links</x:v>
      </x:c>
      <x:c r="I1" s="49" t="str">
        <x:v>Places, commutes &amp; official links</x:v>
      </x:c>
      <x:c r="J1" s="49" t="str">
        <x:v>Places, commutes &amp; official links</x:v>
      </x:c>
      <x:c r="K1" s="49" t="str">
        <x:v>Places, commutes &amp; official links</x:v>
      </x:c>
      <x:c r="L1" s="49" t="str">
        <x:v>Places, commutes &amp; official links</x:v>
      </x:c>
      <x:c r="M1" s="3"/>
    </x:row>
    <x:row r="2" ht="32" customHeight="1">
      <x:c r="A2" s="49" t="str">
        <x:v>Places, commutes &amp; official links</x:v>
      </x:c>
      <x:c r="B2" s="49" t="str">
        <x:v>Places, commutes &amp; official links</x:v>
      </x:c>
      <x:c r="C2" s="49" t="str">
        <x:v>Places, commutes &amp; official links</x:v>
      </x:c>
      <x:c r="D2" s="49" t="str">
        <x:v>Places, commutes &amp; official links</x:v>
      </x:c>
      <x:c r="E2" s="49" t="str">
        <x:v>Places, commutes &amp; official links</x:v>
      </x:c>
      <x:c r="F2" s="49" t="str">
        <x:v>Places, commutes &amp; official links</x:v>
      </x:c>
      <x:c r="G2" s="49" t="str">
        <x:v>Places, commutes &amp; official links</x:v>
      </x:c>
      <x:c r="H2" s="49" t="str">
        <x:v>Places, commutes &amp; official links</x:v>
      </x:c>
      <x:c r="I2" s="49" t="str">
        <x:v>Places, commutes &amp; official links</x:v>
      </x:c>
      <x:c r="J2" s="49" t="str">
        <x:v>Places, commutes &amp; official links</x:v>
      </x:c>
      <x:c r="K2" s="49" t="str">
        <x:v>Places, commutes &amp; official links</x:v>
      </x:c>
      <x:c r="L2" s="49" t="str">
        <x:v>Places, commutes &amp; official links</x:v>
      </x:c>
      <x:c r="M2" s="3"/>
    </x:row>
    <x:row r="3" ht="28" customHeight="1">
      <x:c r="A3" s="10" t="str">
        <x:v>Planning ranges are from Honmachi and include typical walks, transfers and waits. Verify live routes on the day.</x:v>
      </x:c>
      <x:c r="B3" s="10" t="str">
        <x:v>Planning ranges are from Honmachi and include typical walks, transfers and waits. Verify live routes on the day.</x:v>
      </x:c>
      <x:c r="C3" s="10" t="str">
        <x:v>Planning ranges are from Honmachi and include typical walks, transfers and waits. Verify live routes on the day.</x:v>
      </x:c>
      <x:c r="D3" s="10" t="str">
        <x:v>Planning ranges are from Honmachi and include typical walks, transfers and waits. Verify live routes on the day.</x:v>
      </x:c>
      <x:c r="E3" s="10" t="str">
        <x:v>Planning ranges are from Honmachi and include typical walks, transfers and waits. Verify live routes on the day.</x:v>
      </x:c>
      <x:c r="F3" s="10" t="str">
        <x:v>Planning ranges are from Honmachi and include typical walks, transfers and waits. Verify live routes on the day.</x:v>
      </x:c>
      <x:c r="G3" s="10" t="str">
        <x:v>Planning ranges are from Honmachi and include typical walks, transfers and waits. Verify live routes on the day.</x:v>
      </x:c>
      <x:c r="H3" s="10" t="str">
        <x:v>Planning ranges are from Honmachi and include typical walks, transfers and waits. Verify live routes on the day.</x:v>
      </x:c>
      <x:c r="I3" s="10" t="str">
        <x:v>Planning ranges are from Honmachi and include typical walks, transfers and waits. Verify live routes on the day.</x:v>
      </x:c>
      <x:c r="J3" s="10" t="str">
        <x:v>Planning ranges are from Honmachi and include typical walks, transfers and waits. Verify live routes on the day.</x:v>
      </x:c>
      <x:c r="K3" s="10" t="str">
        <x:v>Planning ranges are from Honmachi and include typical walks, transfers and waits. Verify live routes on the day.</x:v>
      </x:c>
      <x:c r="L3" s="10" t="str">
        <x:v>Planning ranges are from Honmachi and include typical walks, transfers and waits. Verify live routes on the day.</x:v>
      </x:c>
      <x:c r="M3" s="3"/>
    </x:row>
    <x:row r="4">
      <x:c r="A4" s="48"/>
      <x:c r="B4" s="48"/>
      <x:c r="C4" s="48"/>
      <x:c r="D4" s="48"/>
      <x:c r="E4" s="48"/>
      <x:c r="F4" s="48"/>
      <x:c r="G4" s="48"/>
      <x:c r="H4" s="48"/>
      <x:c r="I4" s="48"/>
      <x:c r="J4" s="48"/>
      <x:c r="K4" s="48"/>
      <x:c r="L4" s="48"/>
      <x:c r="M4" s="3"/>
    </x:row>
    <x:row r="5" ht="30" customHeight="1">
      <x:c r="A5" s="16" t="str">
        <x:v>Place</x:v>
      </x:c>
      <x:c r="B5" s="16" t="str">
        <x:v>Area</x:v>
      </x:c>
      <x:c r="C5" s="16" t="str">
        <x:v>Day</x:v>
      </x:c>
      <x:c r="D5" s="16" t="str">
        <x:v>From Honmachi</x:v>
      </x:c>
      <x:c r="E5" s="16" t="str">
        <x:v>From prior stop</x:v>
      </x:c>
      <x:c r="F5" s="16" t="str">
        <x:v>Appointment?</x:v>
      </x:c>
      <x:c r="G5" s="16" t="str">
        <x:v>Published hours / access</x:v>
      </x:c>
      <x:c r="H5" s="16" t="str">
        <x:v>Price</x:v>
      </x:c>
      <x:c r="I5" s="16" t="str">
        <x:v>Ground reality</x:v>
      </x:c>
      <x:c r="J5" s="16" t="str">
        <x:v>Best backup</x:v>
      </x:c>
      <x:c r="K5" s="16" t="str">
        <x:v>Map</x:v>
      </x:c>
      <x:c r="L5" s="16" t="str">
        <x:v>Official source</x:v>
      </x:c>
      <x:c r="M5" s="3"/>
    </x:row>
    <x:row r="6" ht="52" customHeight="1">
      <x:c r="A6" s="23" t="str">
        <x:v>Inoichi Hanare</x:v>
      </x:c>
      <x:c r="B6" s="23" t="str">
        <x:v>Kyoto · Shijo</x:v>
      </x:c>
      <x:c r="C6" s="23" t="str">
        <x:v>Sep 24</x:v>
      </x:c>
      <x:c r="D6" s="27" t="str">
        <x:v>60–70 min</x:v>
      </x:c>
      <x:c r="E6" s="27" t="str">
        <x:v>—</x:v>
      </x:c>
      <x:c r="F6" s="23" t="str">
        <x:v>No reservation; 10:30 ticket queue</x:v>
      </x:c>
      <x:c r="G6" s="23" t="str">
        <x:v>11:00–14:30 / 17:30–21:00</x:v>
      </x:c>
      <x:c r="H6" s="23" t="str">
        <x:v>~¥1,400 base bowl</x:v>
      </x:c>
      <x:c r="I6" s="23" t="str">
        <x:v>Ticket distribution can cap before opening; assigned return may be much later.</x:v>
      </x:c>
      <x:c r="J6" s="23" t="str">
        <x:v>Nearby walk-in lunch + keep Garden</x:v>
      </x:c>
      <x:c r="K6" s="23" t="str">
        <x:v>https://maps.google.com/?q=Inoichi+Hanare</x:v>
      </x:c>
      <x:c r="L6" s="23" t="str">
        <x:v>https://menyainoichi.net/about</x:v>
      </x:c>
      <x:c r="M6" s="3"/>
    </x:row>
    <x:row r="7" ht="52" customHeight="1">
      <x:c r="A7" s="19" t="str">
        <x:v>Garden of Fine Arts</x:v>
      </x:c>
      <x:c r="B7" s="19" t="str">
        <x:v>Kyoto · Kitayama</x:v>
      </x:c>
      <x:c r="C7" s="19" t="str">
        <x:v>Sep 24</x:v>
      </x:c>
      <x:c r="D7" s="26" t="str">
        <x:v>75–90 min</x:v>
      </x:c>
      <x:c r="E7" s="26" t="str">
        <x:v>25–30 min from Inoichi</x:v>
      </x:c>
      <x:c r="F7" s="19" t="str">
        <x:v>No</x:v>
      </x:c>
      <x:c r="G7" s="19" t="str">
        <x:v>09:00–17:00; last entry 16:30</x:v>
      </x:c>
      <x:c r="H7" s="19" t="str">
        <x:v>¥200 pp</x:v>
      </x:c>
      <x:c r="I7" s="19" t="str">
        <x:v>Entirely outdoors; strongest in dry, softer light.</x:v>
      </x:c>
      <x:c r="J7" s="19" t="str">
        <x:v>Indoor design/café block</x:v>
      </x:c>
      <x:c r="K7" s="19" t="str">
        <x:v>https://maps.google.com/?q=Garden+of+Fine+Arts+Kyoto</x:v>
      </x:c>
      <x:c r="L7" s="19" t="str">
        <x:v>https://kyoto-toban-hp.or.jp/%E5%BA%AD%E5%9C%92%E3%81%AB%E3%81%A4%E3%81%84%E3%81%A6/</x:v>
      </x:c>
      <x:c r="M7" s="3"/>
    </x:row>
    <x:row r="8" ht="52" customHeight="1">
      <x:c r="A8" s="23" t="str">
        <x:v>Azuma House</x:v>
      </x:c>
      <x:c r="B8" s="23" t="str">
        <x:v>Osaka · Sumiyoshi</x:v>
      </x:c>
      <x:c r="C8" s="23" t="str">
        <x:v>Sep 25</x:v>
      </x:c>
      <x:c r="D8" s="27" t="str">
        <x:v>35–45 min</x:v>
      </x:c>
      <x:c r="E8" s="27" t="str">
        <x:v>—</x:v>
      </x:c>
      <x:c r="F8" s="23" t="str">
        <x:v>No entry</x:v>
      </x:c>
      <x:c r="G8" s="23" t="str">
        <x:v>Private home; exterior only</x:v>
      </x:c>
      <x:c r="H8" s="23" t="str">
        <x:v>Free</x:v>
      </x:c>
      <x:c r="I8" s="23" t="str">
        <x:v>Occupied residence. Do not approach the door or photograph residents.</x:v>
      </x:c>
      <x:c r="J8" s="23" t="str">
        <x:v>Skip; go directly to WAD</x:v>
      </x:c>
      <x:c r="K8" s="23" t="str">
        <x:v>https://maps.google.com/?q=Azuma+House+Osaka</x:v>
      </x:c>
      <x:c r="L8" s="23" t="str">
        <x:v>https://tadao-ando-archive.com/azuma-house/</x:v>
      </x:c>
      <x:c r="M8" s="3"/>
    </x:row>
    <x:row r="9" ht="52" customHeight="1">
      <x:c r="A9" s="19" t="str">
        <x:v>Sumiyoshi Taisha</x:v>
      </x:c>
      <x:c r="B9" s="19" t="str">
        <x:v>Osaka · Sumiyoshi</x:v>
      </x:c>
      <x:c r="C9" s="19" t="str">
        <x:v>Sep 25 optional</x:v>
      </x:c>
      <x:c r="D9" s="26" t="str">
        <x:v>35–45 min</x:v>
      </x:c>
      <x:c r="E9" s="26" t="str">
        <x:v>10–15 min from Azuma</x:v>
      </x:c>
      <x:c r="F9" s="19" t="str">
        <x:v>No</x:v>
      </x:c>
      <x:c r="G9" s="19" t="str">
        <x:v>Grounds hours vary by season</x:v>
      </x:c>
      <x:c r="H9" s="19" t="str">
        <x:v>Free grounds</x:v>
      </x:c>
      <x:c r="I9" s="19" t="str">
        <x:v>Useful only as a calm nearby add-on—not a must-do.</x:v>
      </x:c>
      <x:c r="J9" s="19" t="str">
        <x:v>Skip</x:v>
      </x:c>
      <x:c r="K9" s="19" t="str">
        <x:v>https://maps.google.com/?q=Sumiyoshi+Taisha</x:v>
      </x:c>
      <x:c r="L9" s="19" t="str">
        <x:v>https://www.sumiyoshitaisha.net/en/</x:v>
      </x:c>
      <x:c r="M9" s="3"/>
    </x:row>
    <x:row r="10" ht="52" customHeight="1">
      <x:c r="A10" s="23" t="str">
        <x:v>WAD Omotenashi Café</x:v>
      </x:c>
      <x:c r="B10" s="23" t="str">
        <x:v>Osaka · Minamisenba</x:v>
      </x:c>
      <x:c r="C10" s="23" t="str">
        <x:v>Sep 25</x:v>
      </x:c>
      <x:c r="D10" s="27" t="str">
        <x:v>8–12 min walk</x:v>
      </x:c>
      <x:c r="E10" s="27" t="str">
        <x:v>35–45 min from Sumiyoshi</x:v>
      </x:c>
      <x:c r="F10" s="23" t="str">
        <x:v>No reservations</x:v>
      </x:c>
      <x:c r="G10" s="23" t="str">
        <x:v>12:00–19:00; LO 18:30</x:v>
      </x:c>
      <x:c r="H10" s="23" t="str">
        <x:v>Cash; order-dependent</x:v>
      </x:c>
      <x:c r="I10" s="23" t="str">
        <x:v>Irregular closures possible; quiet service can take time.</x:v>
      </x:c>
      <x:c r="J10" s="23" t="str">
        <x:v>Nearby Honmachi café</x:v>
      </x:c>
      <x:c r="K10" s="23" t="str">
        <x:v>https://maps.google.com/?q=WAD+Omotenashi+Cafe</x:v>
      </x:c>
      <x:c r="L10" s="23" t="str">
        <x:v>https://wad-cafe.com/omotenashi-cafe/</x:v>
      </x:c>
      <x:c r="M10" s="3"/>
    </x:row>
    <x:row r="11" ht="52" customHeight="1">
      <x:c r="A11" s="19" t="str">
        <x:v>Ikoma Sanjo / Sky Cycle</x:v>
      </x:c>
      <x:c r="B11" s="19" t="str">
        <x:v>Nara border · Ikoma</x:v>
      </x:c>
      <x:c r="C11" s="19" t="str">
        <x:v>Sep 26</x:v>
      </x:c>
      <x:c r="D11" s="26" t="str">
        <x:v>60–80 min</x:v>
      </x:c>
      <x:c r="E11" s="26" t="str">
        <x:v>—</x:v>
      </x:c>
      <x:c r="F11" s="19" t="str">
        <x:v>09:40 cable target</x:v>
      </x:c>
      <x:c r="G11" s="19" t="str">
        <x:v>Calendar/weather dependent</x:v>
      </x:c>
      <x:c r="H11" s="19" t="str">
        <x:v>Park free; Sky Cycle ¥600 pp</x:v>
      </x:c>
      <x:c r="I11" s="19" t="str">
        <x:v>Cable intervals can be ~40 min; rides stop for rain/wind and queues may close early.</x:v>
      </x:c>
      <x:c r="J11" s="19" t="str">
        <x:v>Osaka indoor/rest day</x:v>
      </x:c>
      <x:c r="K11" s="19" t="str">
        <x:v>https://maps.google.com/?q=Ikoma+Sanjo+Amusement+Park</x:v>
      </x:c>
      <x:c r="L11" s="19" t="str">
        <x:v>https://www.ikomasanjou.com/calendar/</x:v>
      </x:c>
      <x:c r="M11" s="3"/>
    </x:row>
    <x:row r="12" ht="52" customHeight="1">
      <x:c r="A12" s="23" t="str">
        <x:v>B.B. / American Village</x:v>
      </x:c>
      <x:c r="B12" s="23" t="str">
        <x:v>Osaka · Shinsaibashi</x:v>
      </x:c>
      <x:c r="C12" s="23" t="str">
        <x:v>Sep 27 or Sep 25</x:v>
      </x:c>
      <x:c r="D12" s="27" t="str">
        <x:v>14–18 min walk</x:v>
      </x:c>
      <x:c r="E12" s="27" t="str">
        <x:v>10–15 min from WAD</x:v>
      </x:c>
      <x:c r="F12" s="23" t="str">
        <x:v>No</x:v>
      </x:c>
      <x:c r="G12" s="23" t="str">
        <x:v>About 11:00–22:00</x:v>
      </x:c>
      <x:c r="H12" s="23" t="str">
        <x:v>Browse first</x:v>
      </x:c>
      <x:c r="I12" s="23" t="str">
        <x:v>Online comments flag high pricing; verify item price/service before committing.</x:v>
      </x:c>
      <x:c r="J12" s="23" t="str">
        <x:v>Skip or browse only</x:v>
      </x:c>
      <x:c r="K12" s="23" t="str">
        <x:v>https://maps.apple.com/place?place-id=IC384D8155C203F3A</x:v>
      </x:c>
      <x:c r="L12" s="23" t="str">
        <x:v>https://www.instagram.com/p/DZpUKBvyal8/</x:v>
      </x:c>
      <x:c r="M12" s="3"/>
    </x:row>
    <x:row r="13" ht="52" customHeight="1">
      <x:c r="A13" s="19" t="str">
        <x:v>Grand Green Osaka</x:v>
      </x:c>
      <x:c r="B13" s="19" t="str">
        <x:v>Osaka · Umeda</x:v>
      </x:c>
      <x:c r="C13" s="19" t="str">
        <x:v>Sep 27 or Sep 23</x:v>
      </x:c>
      <x:c r="D13" s="26" t="str">
        <x:v>18–25 min</x:v>
      </x:c>
      <x:c r="E13" s="26" t="str">
        <x:v>—</x:v>
      </x:c>
      <x:c r="F13" s="19" t="str">
        <x:v>No</x:v>
      </x:c>
      <x:c r="G13" s="19" t="str">
        <x:v>Public areas largely open</x:v>
      </x:c>
      <x:c r="H13" s="19" t="str">
        <x:v>Free</x:v>
      </x:c>
      <x:c r="I13" s="19" t="str">
        <x:v>Still a developing district; broader completion is planned for 2027.</x:v>
      </x:c>
      <x:c r="J13" s="19" t="str">
        <x:v>Short Umeda walk or skip</x:v>
      </x:c>
      <x:c r="K13" s="19" t="str">
        <x:v>https://maps.google.com/?q=Grand+Green+Osaka</x:v>
      </x:c>
      <x:c r="L13" s="19" t="str">
        <x:v>https://umekita.com/</x:v>
      </x:c>
      <x:c r="M13" s="3"/>
    </x:row>
    <x:row r="14">
      <x:c r="A14" s="3"/>
      <x:c r="B14" s="3"/>
      <x:c r="C14" s="3"/>
      <x:c r="D14" s="3"/>
      <x:c r="E14" s="3"/>
      <x:c r="F14" s="3"/>
      <x:c r="G14" s="3"/>
      <x:c r="H14" s="3"/>
      <x:c r="I14" s="3"/>
      <x:c r="J14" s="3"/>
      <x:c r="K14" s="3"/>
      <x:c r="L14" s="3"/>
      <x:c r="M14" s="3"/>
    </x:row>
    <x:row r="15">
      <x:c r="A15" s="3"/>
      <x:c r="B15" s="3"/>
      <x:c r="C15" s="3"/>
      <x:c r="D15" s="3"/>
      <x:c r="E15" s="3"/>
      <x:c r="F15" s="3"/>
      <x:c r="G15" s="3"/>
      <x:c r="H15" s="3"/>
      <x:c r="I15" s="3"/>
      <x:c r="J15" s="3"/>
      <x:c r="K15" s="3"/>
      <x:c r="L15" s="3"/>
      <x:c r="M15" s="3"/>
    </x:row>
    <x:row r="16">
      <x:c r="A16" s="3"/>
      <x:c r="B16" s="3"/>
      <x:c r="C16" s="3"/>
      <x:c r="D16" s="3"/>
      <x:c r="E16" s="3"/>
      <x:c r="F16" s="3"/>
      <x:c r="G16" s="3"/>
      <x:c r="H16" s="3"/>
      <x:c r="I16" s="3"/>
      <x:c r="J16" s="3"/>
      <x:c r="K16" s="3"/>
      <x:c r="L16" s="3"/>
      <x:c r="M16" s="3"/>
    </x:row>
    <x:row r="17">
      <x:c r="A17" s="3"/>
      <x:c r="B17" s="3"/>
      <x:c r="C17" s="3"/>
      <x:c r="D17" s="3"/>
      <x:c r="E17" s="3"/>
      <x:c r="F17" s="3"/>
      <x:c r="G17" s="3"/>
      <x:c r="H17" s="3"/>
      <x:c r="I17" s="3"/>
      <x:c r="J17" s="3"/>
      <x:c r="K17" s="3"/>
      <x:c r="L17" s="3"/>
      <x:c r="M17" s="3"/>
    </x:row>
    <x:row r="18">
      <x:c r="A18" s="3"/>
      <x:c r="B18" s="3"/>
      <x:c r="C18" s="3"/>
      <x:c r="D18" s="3"/>
      <x:c r="E18" s="3"/>
      <x:c r="F18" s="3"/>
      <x:c r="G18" s="3"/>
      <x:c r="H18" s="3"/>
      <x:c r="I18" s="3"/>
      <x:c r="J18" s="3"/>
      <x:c r="K18" s="3"/>
      <x:c r="L18" s="3"/>
      <x:c r="M18" s="3"/>
    </x:row>
    <x:row r="19">
      <x:c r="A19" s="3"/>
      <x:c r="B19" s="3"/>
      <x:c r="C19" s="3"/>
      <x:c r="D19" s="3"/>
      <x:c r="E19" s="3"/>
      <x:c r="F19" s="3"/>
      <x:c r="G19" s="3"/>
      <x:c r="H19" s="3"/>
      <x:c r="I19" s="3"/>
      <x:c r="J19" s="3"/>
      <x:c r="K19" s="3"/>
      <x:c r="L19" s="3"/>
      <x:c r="M19" s="3"/>
    </x:row>
    <x:row r="20">
      <x:c r="A20" s="3"/>
      <x:c r="B20" s="3"/>
      <x:c r="C20" s="3"/>
      <x:c r="D20" s="3"/>
      <x:c r="E20" s="3"/>
      <x:c r="F20" s="3"/>
      <x:c r="G20" s="3"/>
      <x:c r="H20" s="3"/>
      <x:c r="I20" s="3"/>
      <x:c r="J20" s="3"/>
      <x:c r="K20" s="3"/>
      <x:c r="L20" s="3"/>
      <x:c r="M20" s="3"/>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sheetData>
  <x:mergeCells>
    <x:mergeCell ref="A1:L2"/>
    <x:mergeCell ref="A3:L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9" hidden="0" customWidth="1"/>
    <x:col min="3" max="3" width="15" hidden="0" customWidth="1"/>
    <x:col min="4" max="4" width="15" hidden="0" customWidth="1"/>
    <x:col min="5" max="5" width="11" hidden="0" customWidth="1"/>
    <x:col min="6" max="6" width="28" hidden="0" customWidth="1"/>
    <x:col min="7" max="7" width="23" hidden="0" customWidth="1"/>
    <x:col min="8" max="8" width="32" hidden="0" customWidth="1"/>
    <x:col min="9" max="9" width="38" hidden="0" customWidth="1"/>
    <x:col min="10" max="10" width="42" hidden="0" customWidth="1"/>
    <x:col min="11" max="11" width="22" hidden="0" customWidth="1"/>
    <x:col min="12" max="12" width="48" hidden="0" customWidth="1"/>
  </x:cols>
  <x:sheetData>
    <x:row r="1" ht="32" customHeight="1">
      <x:c r="A1" s="49" t="str">
        <x:v>Shortlisted stays · 23–27 September</x:v>
      </x:c>
      <x:c r="B1" s="49" t="str">
        <x:v>Shortlisted stays · 23–27 September</x:v>
      </x:c>
      <x:c r="C1" s="49" t="str">
        <x:v>Shortlisted stays · 23–27 September</x:v>
      </x:c>
      <x:c r="D1" s="49" t="str">
        <x:v>Shortlisted stays · 23–27 September</x:v>
      </x:c>
      <x:c r="E1" s="49" t="str">
        <x:v>Shortlisted stays · 23–27 September</x:v>
      </x:c>
      <x:c r="F1" s="49" t="str">
        <x:v>Shortlisted stays · 23–27 September</x:v>
      </x:c>
      <x:c r="G1" s="49" t="str">
        <x:v>Shortlisted stays · 23–27 September</x:v>
      </x:c>
      <x:c r="H1" s="49" t="str">
        <x:v>Shortlisted stays · 23–27 September</x:v>
      </x:c>
      <x:c r="I1" s="49" t="str">
        <x:v>Shortlisted stays · 23–27 September</x:v>
      </x:c>
      <x:c r="J1" s="49" t="str">
        <x:v>Shortlisted stays · 23–27 September</x:v>
      </x:c>
      <x:c r="K1" s="49" t="str">
        <x:v>Shortlisted stays · 23–27 September</x:v>
      </x:c>
      <x:c r="L1" s="49" t="str">
        <x:v>Shortlisted stays · 23–27 September</x:v>
      </x:c>
      <x:c r="M1" s="3"/>
    </x:row>
    <x:row r="2" ht="32" customHeight="1">
      <x:c r="A2" s="49" t="str">
        <x:v>Shortlisted stays · 23–27 September</x:v>
      </x:c>
      <x:c r="B2" s="49" t="str">
        <x:v>Shortlisted stays · 23–27 September</x:v>
      </x:c>
      <x:c r="C2" s="49" t="str">
        <x:v>Shortlisted stays · 23–27 September</x:v>
      </x:c>
      <x:c r="D2" s="49" t="str">
        <x:v>Shortlisted stays · 23–27 September</x:v>
      </x:c>
      <x:c r="E2" s="49" t="str">
        <x:v>Shortlisted stays · 23–27 September</x:v>
      </x:c>
      <x:c r="F2" s="49" t="str">
        <x:v>Shortlisted stays · 23–27 September</x:v>
      </x:c>
      <x:c r="G2" s="49" t="str">
        <x:v>Shortlisted stays · 23–27 September</x:v>
      </x:c>
      <x:c r="H2" s="49" t="str">
        <x:v>Shortlisted stays · 23–27 September</x:v>
      </x:c>
      <x:c r="I2" s="49" t="str">
        <x:v>Shortlisted stays · 23–27 September</x:v>
      </x:c>
      <x:c r="J2" s="49" t="str">
        <x:v>Shortlisted stays · 23–27 September</x:v>
      </x:c>
      <x:c r="K2" s="49" t="str">
        <x:v>Shortlisted stays · 23–27 September</x:v>
      </x:c>
      <x:c r="L2" s="49" t="str">
        <x:v>Shortlisted stays · 23–27 September</x:v>
      </x:c>
      <x:c r="M2" s="3"/>
    </x:row>
    <x:row r="3" ht="28" customHeight="1">
      <x:c r="A3" s="10" t="str">
        <x:v>Two travellers · four nights · target ≤ ₹12,000/night · prices captured during planning and can move at booking time.</x:v>
      </x:c>
      <x:c r="B3" s="10" t="str">
        <x:v>Two travellers · four nights · target ≤ ₹12,000/night · prices captured during planning and can move at booking time.</x:v>
      </x:c>
      <x:c r="C3" s="10" t="str">
        <x:v>Two travellers · four nights · target ≤ ₹12,000/night · prices captured during planning and can move at booking time.</x:v>
      </x:c>
      <x:c r="D3" s="10" t="str">
        <x:v>Two travellers · four nights · target ≤ ₹12,000/night · prices captured during planning and can move at booking time.</x:v>
      </x:c>
      <x:c r="E3" s="10" t="str">
        <x:v>Two travellers · four nights · target ≤ ₹12,000/night · prices captured during planning and can move at booking time.</x:v>
      </x:c>
      <x:c r="F3" s="10" t="str">
        <x:v>Two travellers · four nights · target ≤ ₹12,000/night · prices captured during planning and can move at booking time.</x:v>
      </x:c>
      <x:c r="G3" s="10" t="str">
        <x:v>Two travellers · four nights · target ≤ ₹12,000/night · prices captured during planning and can move at booking time.</x:v>
      </x:c>
      <x:c r="H3" s="10" t="str">
        <x:v>Two travellers · four nights · target ≤ ₹12,000/night · prices captured during planning and can move at booking time.</x:v>
      </x:c>
      <x:c r="I3" s="10" t="str">
        <x:v>Two travellers · four nights · target ≤ ₹12,000/night · prices captured during planning and can move at booking time.</x:v>
      </x:c>
      <x:c r="J3" s="10" t="str">
        <x:v>Two travellers · four nights · target ≤ ₹12,000/night · prices captured during planning and can move at booking time.</x:v>
      </x:c>
      <x:c r="K3" s="10" t="str">
        <x:v>Two travellers · four nights · target ≤ ₹12,000/night · prices captured during planning and can move at booking time.</x:v>
      </x:c>
      <x:c r="L3" s="10" t="str">
        <x:v>Two travellers · four nights · target ≤ ₹12,000/night · prices captured during planning and can move at booking time.</x:v>
      </x:c>
      <x:c r="M3" s="3"/>
    </x:row>
    <x:row r="4">
      <x:c r="A4" s="48"/>
      <x:c r="B4" s="48"/>
      <x:c r="C4" s="48"/>
      <x:c r="D4" s="48"/>
      <x:c r="E4" s="48"/>
      <x:c r="F4" s="48"/>
      <x:c r="G4" s="48"/>
      <x:c r="H4" s="48"/>
      <x:c r="I4" s="48"/>
      <x:c r="J4" s="48"/>
      <x:c r="K4" s="48"/>
      <x:c r="L4" s="48"/>
      <x:c r="M4" s="3"/>
    </x:row>
    <x:row r="5" ht="30" customHeight="1">
      <x:c r="A5" s="16" t="str">
        <x:v>Option</x:v>
      </x:c>
      <x:c r="B5" s="16" t="str">
        <x:v>Base</x:v>
      </x:c>
      <x:c r="C5" s="16" t="str">
        <x:v>Trip total</x:v>
      </x:c>
      <x:c r="D5" s="16" t="str">
        <x:v>Per night</x:v>
      </x:c>
      <x:c r="E5" s="16" t="str">
        <x:v>Rating</x:v>
      </x:c>
      <x:c r="F5" s="16" t="str">
        <x:v>Layout</x:v>
      </x:c>
      <x:c r="G5" s="16" t="str">
        <x:v>Lift / laundry</x:v>
      </x:c>
      <x:c r="H5" s="16" t="str">
        <x:v>Movement</x:v>
      </x:c>
      <x:c r="I5" s="16" t="str">
        <x:v>Strengths</x:v>
      </x:c>
      <x:c r="J5" s="16" t="str">
        <x:v>Trade-offs</x:v>
      </x:c>
      <x:c r="K5" s="16" t="str">
        <x:v>Cancellation</x:v>
      </x:c>
      <x:c r="L5" s="16" t="str">
        <x:v>Listing</x:v>
      </x:c>
      <x:c r="M5" s="3"/>
    </x:row>
    <x:row r="6" ht="76" customHeight="1">
      <x:c r="A6" s="88" t="str">
        <x:v>Recommended · best balance</x:v>
      </x:c>
      <x:c r="B6" s="84" t="str">
        <x:v>Honmachi</x:v>
      </x:c>
      <x:c r="C6" s="92" t="n">
        <x:v>16729</x:v>
      </x:c>
      <x:c r="D6" s="92" t="n">
        <x:f>C6/4</x:f>
        <x:v>4182.25</x:v>
      </x:c>
      <x:c r="E6" s="86" t="n">
        <x:v>4.91</x:v>
      </x:c>
      <x:c r="F6" s="84" t="str">
        <x:v>27m² 1K · 2 double beds</x:v>
      </x:c>
      <x:c r="G6" s="84" t="str">
        <x:v>Lift + washer</x:v>
      </x:c>
      <x:c r="H6" s="84" t="str">
        <x:v>Direct Midosuji; WAD/B.B. walkable</x:v>
      </x:c>
      <x:c r="I6" s="84" t="str">
        <x:v>Excellent price, room to split beds, easiest movement</x:v>
      </x:c>
      <x:c r="J6" s="84" t="str">
        <x:v>Listing card says 2 bedrooms, but description says 1K—verify before booking</x:v>
      </x:c>
      <x:c r="K6" s="84" t="str">
        <x:v>Free before 9 Sep</x:v>
      </x:c>
      <x:c r="L6" s="84" t="str">
        <x:v>https://www.airbnb.co.in/rooms/956846460124617266?adults=2&amp;check_in=2026-09-23&amp;check_out=2026-09-27</x:v>
      </x:c>
      <x:c r="M6" s="3"/>
    </x:row>
    <x:row r="7" ht="76" customHeight="1">
      <x:c r="A7" s="19" t="str">
        <x:v>Cheapest</x:v>
      </x:c>
      <x:c r="B7" s="19" t="str">
        <x:v>Tanimachi</x:v>
      </x:c>
      <x:c r="C7" s="93" t="n">
        <x:v>13478</x:v>
      </x:c>
      <x:c r="D7" s="93" t="n">
        <x:f>C7/4</x:f>
        <x:v>3369.5</x:v>
      </x:c>
      <x:c r="E7" s="81"/>
      <x:c r="F7" s="19" t="str">
        <x:v>Compact apartment</x:v>
      </x:c>
      <x:c r="G7" s="19" t="str">
        <x:v>No lift noted</x:v>
      </x:c>
      <x:c r="H7" s="19" t="str">
        <x:v>Good east-central access; less direct for Shin-Osaka</x:v>
      </x:c>
      <x:c r="I7" s="19" t="str">
        <x:v>Lowest total price</x:v>
      </x:c>
      <x:c r="J7" s="19" t="str">
        <x:v>Steep stairs, possible noise, stricter cancellation</x:v>
      </x:c>
      <x:c r="K7" s="19" t="str">
        <x:v>Strict</x:v>
      </x:c>
      <x:c r="L7" s="19" t="str">
        <x:v>https://www.airbnb.co.in/rooms/38474834?adults=2&amp;check_in=2026-09-23&amp;check_out=2026-09-27</x:v>
      </x:c>
      <x:c r="M7" s="3"/>
    </x:row>
    <x:row r="8" ht="76" customHeight="1">
      <x:c r="A8" s="23" t="str">
        <x:v>Comfort pick · Bijou Suites Velvet</x:v>
      </x:c>
      <x:c r="B8" s="23" t="str">
        <x:v>Nipponbashi area</x:v>
      </x:c>
      <x:c r="C8" s="94" t="n">
        <x:v>32193</x:v>
      </x:c>
      <x:c r="D8" s="94" t="n">
        <x:f>C8/4</x:f>
        <x:v>8048.25</x:v>
      </x:c>
      <x:c r="E8" s="75"/>
      <x:c r="F8" s="23" t="str">
        <x:v>2 double beds · 1.5 baths</x:v>
      </x:c>
      <x:c r="G8" s="23" t="str">
        <x:v>Lift + washer-dryer</x:v>
      </x:c>
      <x:c r="H8" s="23" t="str">
        <x:v>Strong Namba access; more transfers north</x:v>
      </x:c>
      <x:c r="I8" s="23" t="str">
        <x:v>Most space and bathroom comfort</x:v>
      </x:c>
      <x:c r="J8" s="23" t="str">
        <x:v>Costs almost 2× the recommended option; strict cancellation</x:v>
      </x:c>
      <x:c r="K8" s="23" t="str">
        <x:v>Strict</x:v>
      </x:c>
      <x:c r="L8" s="23" t="str">
        <x:v>https://www.airbnb.co.in/rooms/36007947?adults=2&amp;check_in=2026-09-23&amp;check_out=2026-09-27</x:v>
      </x:c>
      <x:c r="M8" s="3"/>
    </x:row>
    <x:row r="9">
      <x:c r="A9" s="48"/>
      <x:c r="B9" s="48"/>
      <x:c r="C9" s="48"/>
      <x:c r="D9" s="48"/>
      <x:c r="E9" s="48"/>
      <x:c r="F9" s="48"/>
      <x:c r="G9" s="48"/>
      <x:c r="H9" s="48"/>
      <x:c r="I9" s="48"/>
      <x:c r="J9" s="48"/>
      <x:c r="K9" s="48"/>
      <x:c r="L9" s="48"/>
      <x:c r="M9" s="3"/>
    </x:row>
    <x:row r="10">
      <x:c r="A10" s="100" t="str">
        <x:v>Booking check before payment</x:v>
      </x:c>
      <x:c r="B10" s="100" t="str">
        <x:v>Booking check before payment</x:v>
      </x:c>
      <x:c r="C10" s="100" t="str">
        <x:v>Booking check before payment</x:v>
      </x:c>
      <x:c r="D10" s="100" t="str">
        <x:v>Booking check before payment</x:v>
      </x:c>
      <x:c r="E10" s="100" t="str">
        <x:v>Booking check before payment</x:v>
      </x:c>
      <x:c r="F10" s="100" t="str">
        <x:v>Booking check before payment</x:v>
      </x:c>
      <x:c r="G10" s="100" t="str">
        <x:v>Booking check before payment</x:v>
      </x:c>
      <x:c r="H10" s="100" t="str">
        <x:v>Booking check before payment</x:v>
      </x:c>
      <x:c r="I10" s="100" t="str">
        <x:v>Booking check before payment</x:v>
      </x:c>
      <x:c r="J10" s="100" t="str">
        <x:v>Booking check before payment</x:v>
      </x:c>
      <x:c r="K10" s="100" t="str">
        <x:v>Booking check before payment</x:v>
      </x:c>
      <x:c r="L10" s="100" t="str">
        <x:v>Booking check before payment</x:v>
      </x:c>
      <x:c r="M10" s="3"/>
    </x:row>
    <x:row r="11">
      <x:c r="A11" s="64"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B11" s="65"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C11" s="65"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D11" s="65"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E11" s="65"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F11" s="65"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G11" s="65"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H11" s="65"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I11" s="65"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J11" s="65"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K11" s="65"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L11" s="6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M11" s="3"/>
    </x:row>
    <x:row r="12">
      <x:c r="A12" s="9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B12" s="4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C12" s="4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D12" s="4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E12" s="4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F12" s="4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G12" s="4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H12" s="4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I12" s="4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J12" s="4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K12" s="46"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L12" s="99"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M12" s="3"/>
    </x:row>
    <x:row r="13">
      <x:c r="A13" s="67"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B13" s="6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C13" s="6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D13" s="6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E13" s="6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F13" s="6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G13" s="6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H13" s="6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I13" s="6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J13" s="6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K13" s="68"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L13" s="69" t="str">
        <x:v>Reconfirm final price in INR, cleaning/taxes, exact bed setup, lift access, luggage storage, checkout time, cancellation deadline and station exit. Airbnb search cards can summarize rooms differently from the host description; save screenshots of the listing and cancellation terms at booking.</x:v>
      </x:c>
      <x:c r="M13" s="3"/>
    </x:row>
    <x:row r="14">
      <x:c r="A14" s="3"/>
      <x:c r="B14" s="3"/>
      <x:c r="C14" s="3"/>
      <x:c r="D14" s="3"/>
      <x:c r="E14" s="3"/>
      <x:c r="F14" s="3"/>
      <x:c r="G14" s="3"/>
      <x:c r="H14" s="3"/>
      <x:c r="I14" s="3"/>
      <x:c r="J14" s="3"/>
      <x:c r="K14" s="3"/>
      <x:c r="L14" s="3"/>
      <x:c r="M14" s="3"/>
    </x:row>
    <x:row r="15">
      <x:c r="A15" s="3"/>
      <x:c r="B15" s="3"/>
      <x:c r="C15" s="3"/>
      <x:c r="D15" s="3"/>
      <x:c r="E15" s="3"/>
      <x:c r="F15" s="3"/>
      <x:c r="G15" s="3"/>
      <x:c r="H15" s="3"/>
      <x:c r="I15" s="3"/>
      <x:c r="J15" s="3"/>
      <x:c r="K15" s="3"/>
      <x:c r="L15" s="3"/>
      <x:c r="M15" s="3"/>
    </x:row>
    <x:row r="16">
      <x:c r="A16" s="3"/>
      <x:c r="B16" s="3"/>
      <x:c r="C16" s="3"/>
      <x:c r="D16" s="3"/>
      <x:c r="E16" s="3"/>
      <x:c r="F16" s="3"/>
      <x:c r="G16" s="3"/>
      <x:c r="H16" s="3"/>
      <x:c r="I16" s="3"/>
      <x:c r="J16" s="3"/>
      <x:c r="K16" s="3"/>
      <x:c r="L16" s="3"/>
      <x:c r="M16" s="3"/>
    </x:row>
    <x:row r="17">
      <x:c r="A17" s="3"/>
      <x:c r="B17" s="3"/>
      <x:c r="C17" s="3"/>
      <x:c r="D17" s="3"/>
      <x:c r="E17" s="3"/>
      <x:c r="F17" s="3"/>
      <x:c r="G17" s="3"/>
      <x:c r="H17" s="3"/>
      <x:c r="I17" s="3"/>
      <x:c r="J17" s="3"/>
      <x:c r="K17" s="3"/>
      <x:c r="L17" s="3"/>
      <x:c r="M17" s="3"/>
    </x:row>
    <x:row r="18">
      <x:c r="A18" s="3"/>
      <x:c r="B18" s="3"/>
      <x:c r="C18" s="3"/>
      <x:c r="D18" s="3"/>
      <x:c r="E18" s="3"/>
      <x:c r="F18" s="3"/>
      <x:c r="G18" s="3"/>
      <x:c r="H18" s="3"/>
      <x:c r="I18" s="3"/>
      <x:c r="J18" s="3"/>
      <x:c r="K18" s="3"/>
      <x:c r="L18" s="3"/>
      <x:c r="M18" s="3"/>
    </x:row>
    <x:row r="19">
      <x:c r="A19" s="3"/>
      <x:c r="B19" s="3"/>
      <x:c r="C19" s="3"/>
      <x:c r="D19" s="3"/>
      <x:c r="E19" s="3"/>
      <x:c r="F19" s="3"/>
      <x:c r="G19" s="3"/>
      <x:c r="H19" s="3"/>
      <x:c r="I19" s="3"/>
      <x:c r="J19" s="3"/>
      <x:c r="K19" s="3"/>
      <x:c r="L19" s="3"/>
      <x:c r="M19" s="3"/>
    </x:row>
    <x:row r="20">
      <x:c r="A20" s="3"/>
      <x:c r="B20" s="3"/>
      <x:c r="C20" s="3"/>
      <x:c r="D20" s="3"/>
      <x:c r="E20" s="3"/>
      <x:c r="F20" s="3"/>
      <x:c r="G20" s="3"/>
      <x:c r="H20" s="3"/>
      <x:c r="I20" s="3"/>
      <x:c r="J20" s="3"/>
      <x:c r="K20" s="3"/>
      <x:c r="L20" s="3"/>
      <x:c r="M20" s="3"/>
    </x:row>
    <x:row r="21">
      <x:c r="A21" s="3"/>
      <x:c r="B21" s="3"/>
      <x:c r="C21" s="3"/>
      <x:c r="D21" s="3"/>
      <x:c r="E21" s="3"/>
      <x:c r="F21" s="3"/>
      <x:c r="G21" s="3"/>
      <x:c r="H21" s="3"/>
      <x:c r="I21" s="3"/>
      <x:c r="J21" s="3"/>
      <x:c r="K21" s="3"/>
      <x:c r="L21" s="3"/>
      <x:c r="M21" s="3"/>
    </x:row>
    <x:row r="22">
      <x:c r="A22" s="3"/>
      <x:c r="B22" s="3"/>
      <x:c r="C22" s="3"/>
      <x:c r="D22" s="3"/>
      <x:c r="E22" s="3"/>
      <x:c r="F22" s="3"/>
      <x:c r="G22" s="3"/>
      <x:c r="H22" s="3"/>
      <x:c r="I22" s="3"/>
      <x:c r="J22" s="3"/>
      <x:c r="K22" s="3"/>
      <x:c r="L22" s="3"/>
      <x:c r="M22" s="3"/>
    </x:row>
    <x:row r="23">
      <x:c r="A23" s="3"/>
      <x:c r="B23" s="3"/>
      <x:c r="C23" s="3"/>
      <x:c r="D23" s="3"/>
      <x:c r="E23" s="3"/>
      <x:c r="F23" s="3"/>
      <x:c r="G23" s="3"/>
      <x:c r="H23" s="3"/>
      <x:c r="I23" s="3"/>
      <x:c r="J23" s="3"/>
      <x:c r="K23" s="3"/>
      <x:c r="L23" s="3"/>
      <x:c r="M23" s="3"/>
    </x:row>
    <x:row r="24">
      <x:c r="A24" s="3"/>
      <x:c r="B24" s="3"/>
      <x:c r="C24" s="3"/>
      <x:c r="D24" s="3"/>
      <x:c r="E24" s="3"/>
      <x:c r="F24" s="3"/>
      <x:c r="G24" s="3"/>
      <x:c r="H24" s="3"/>
      <x:c r="I24" s="3"/>
      <x:c r="J24" s="3"/>
      <x:c r="K24" s="3"/>
      <x:c r="L24" s="3"/>
      <x:c r="M24" s="3"/>
    </x:row>
    <x:row r="25">
      <x:c r="A25" s="3"/>
      <x:c r="B25" s="3"/>
      <x:c r="C25" s="3"/>
      <x:c r="D25" s="3"/>
      <x:c r="E25" s="3"/>
      <x:c r="F25" s="3"/>
      <x:c r="G25" s="3"/>
      <x:c r="H25" s="3"/>
      <x:c r="I25" s="3"/>
      <x:c r="J25" s="3"/>
      <x:c r="K25" s="3"/>
      <x:c r="L25" s="3"/>
      <x:c r="M25" s="3"/>
    </x:row>
    <x:row r="26">
      <x:c r="A26" s="3"/>
      <x:c r="B26" s="3"/>
      <x:c r="C26" s="3"/>
      <x:c r="D26" s="3"/>
      <x:c r="E26" s="3"/>
      <x:c r="F26" s="3"/>
      <x:c r="G26" s="3"/>
      <x:c r="H26" s="3"/>
      <x:c r="I26" s="3"/>
      <x:c r="J26" s="3"/>
      <x:c r="K26" s="3"/>
      <x:c r="L26" s="3"/>
      <x:c r="M26" s="3"/>
    </x:row>
    <x:row r="27">
      <x:c r="A27" s="3"/>
      <x:c r="B27" s="3"/>
      <x:c r="C27" s="3"/>
      <x:c r="D27" s="3"/>
      <x:c r="E27" s="3"/>
      <x:c r="F27" s="3"/>
      <x:c r="G27" s="3"/>
      <x:c r="H27" s="3"/>
      <x:c r="I27" s="3"/>
      <x:c r="J27" s="3"/>
      <x:c r="K27" s="3"/>
      <x:c r="L27" s="3"/>
      <x:c r="M27" s="3"/>
    </x:row>
    <x:row r="28">
      <x:c r="A28" s="3"/>
      <x:c r="B28" s="3"/>
      <x:c r="C28" s="3"/>
      <x:c r="D28" s="3"/>
      <x:c r="E28" s="3"/>
      <x:c r="F28" s="3"/>
      <x:c r="G28" s="3"/>
      <x:c r="H28" s="3"/>
      <x:c r="I28" s="3"/>
      <x:c r="J28" s="3"/>
      <x:c r="K28" s="3"/>
      <x:c r="L28" s="3"/>
      <x:c r="M28" s="3"/>
    </x:row>
    <x:row r="29">
      <x:c r="A29" s="3"/>
      <x:c r="B29" s="3"/>
      <x:c r="C29" s="3"/>
      <x:c r="D29" s="3"/>
      <x:c r="E29" s="3"/>
      <x:c r="F29" s="3"/>
      <x:c r="G29" s="3"/>
      <x:c r="H29" s="3"/>
      <x:c r="I29" s="3"/>
      <x:c r="J29" s="3"/>
      <x:c r="K29" s="3"/>
      <x:c r="L29" s="3"/>
      <x:c r="M29" s="3"/>
    </x:row>
    <x:row r="30">
      <x:c r="A30" s="3"/>
      <x:c r="B30" s="3"/>
      <x:c r="C30" s="3"/>
      <x:c r="D30" s="3"/>
      <x:c r="E30" s="3"/>
      <x:c r="F30" s="3"/>
      <x:c r="G30" s="3"/>
      <x:c r="H30" s="3"/>
      <x:c r="I30" s="3"/>
      <x:c r="J30" s="3"/>
      <x:c r="K30" s="3"/>
      <x:c r="L30" s="3"/>
      <x:c r="M30" s="3"/>
    </x:row>
    <x:row r="31">
      <x:c r="A31" s="3"/>
      <x:c r="B31" s="3"/>
      <x:c r="C31" s="3"/>
      <x:c r="D31" s="3"/>
      <x:c r="E31" s="3"/>
      <x:c r="F31" s="3"/>
      <x:c r="G31" s="3"/>
      <x:c r="H31" s="3"/>
      <x:c r="I31" s="3"/>
      <x:c r="J31" s="3"/>
      <x:c r="K31" s="3"/>
      <x:c r="L31" s="3"/>
      <x:c r="M31" s="3"/>
    </x:row>
    <x:row r="32">
      <x:c r="A32" s="3"/>
      <x:c r="B32" s="3"/>
      <x:c r="C32" s="3"/>
      <x:c r="D32" s="3"/>
      <x:c r="E32" s="3"/>
      <x:c r="F32" s="3"/>
      <x:c r="G32" s="3"/>
      <x:c r="H32" s="3"/>
      <x:c r="I32" s="3"/>
      <x:c r="J32" s="3"/>
      <x:c r="K32" s="3"/>
      <x:c r="L32" s="3"/>
      <x:c r="M32" s="3"/>
    </x:row>
    <x:row r="33">
      <x:c r="A33" s="3"/>
      <x:c r="B33" s="3"/>
      <x:c r="C33" s="3"/>
      <x:c r="D33" s="3"/>
      <x:c r="E33" s="3"/>
      <x:c r="F33" s="3"/>
      <x:c r="G33" s="3"/>
      <x:c r="H33" s="3"/>
      <x:c r="I33" s="3"/>
      <x:c r="J33" s="3"/>
      <x:c r="K33" s="3"/>
      <x:c r="L33" s="3"/>
      <x:c r="M33" s="3"/>
    </x:row>
    <x:row r="34">
      <x:c r="A34" s="3"/>
      <x:c r="B34" s="3"/>
      <x:c r="C34" s="3"/>
      <x:c r="D34" s="3"/>
      <x:c r="E34" s="3"/>
      <x:c r="F34" s="3"/>
      <x:c r="G34" s="3"/>
      <x:c r="H34" s="3"/>
      <x:c r="I34" s="3"/>
      <x:c r="J34" s="3"/>
      <x:c r="K34" s="3"/>
      <x:c r="L34" s="3"/>
      <x:c r="M34" s="3"/>
    </x:row>
    <x:row r="35">
      <x:c r="A35" s="3"/>
      <x:c r="B35" s="3"/>
      <x:c r="C35" s="3"/>
      <x:c r="D35" s="3"/>
      <x:c r="E35" s="3"/>
      <x:c r="F35" s="3"/>
      <x:c r="G35" s="3"/>
      <x:c r="H35" s="3"/>
      <x:c r="I35" s="3"/>
      <x:c r="J35" s="3"/>
      <x:c r="K35" s="3"/>
      <x:c r="L35" s="3"/>
      <x:c r="M35" s="3"/>
    </x:row>
    <x:row r="36">
      <x:c r="A36" s="3"/>
      <x:c r="B36" s="3"/>
      <x:c r="C36" s="3"/>
      <x:c r="D36" s="3"/>
      <x:c r="E36" s="3"/>
      <x:c r="F36" s="3"/>
      <x:c r="G36" s="3"/>
      <x:c r="H36" s="3"/>
      <x:c r="I36" s="3"/>
      <x:c r="J36" s="3"/>
      <x:c r="K36" s="3"/>
      <x:c r="L36" s="3"/>
      <x:c r="M36" s="3"/>
    </x:row>
    <x:row r="37">
      <x:c r="A37" s="3"/>
      <x:c r="B37" s="3"/>
      <x:c r="C37" s="3"/>
      <x:c r="D37" s="3"/>
      <x:c r="E37" s="3"/>
      <x:c r="F37" s="3"/>
      <x:c r="G37" s="3"/>
      <x:c r="H37" s="3"/>
      <x:c r="I37" s="3"/>
      <x:c r="J37" s="3"/>
      <x:c r="K37" s="3"/>
      <x:c r="L37" s="3"/>
      <x:c r="M37" s="3"/>
    </x:row>
    <x:row r="38">
      <x:c r="A38" s="3"/>
      <x:c r="B38" s="3"/>
      <x:c r="C38" s="3"/>
      <x:c r="D38" s="3"/>
      <x:c r="E38" s="3"/>
      <x:c r="F38" s="3"/>
      <x:c r="G38" s="3"/>
      <x:c r="H38" s="3"/>
      <x:c r="I38" s="3"/>
      <x:c r="J38" s="3"/>
      <x:c r="K38" s="3"/>
      <x:c r="L38" s="3"/>
      <x:c r="M38" s="3"/>
    </x:row>
    <x:row r="39">
      <x:c r="A39" s="3"/>
      <x:c r="B39" s="3"/>
      <x:c r="C39" s="3"/>
      <x:c r="D39" s="3"/>
      <x:c r="E39" s="3"/>
      <x:c r="F39" s="3"/>
      <x:c r="G39" s="3"/>
      <x:c r="H39" s="3"/>
      <x:c r="I39" s="3"/>
      <x:c r="J39" s="3"/>
      <x:c r="K39" s="3"/>
      <x:c r="L39" s="3"/>
      <x:c r="M39" s="3"/>
    </x:row>
    <x:row r="40">
      <x:c r="A40" s="3"/>
      <x:c r="B40" s="3"/>
      <x:c r="C40" s="3"/>
      <x:c r="D40" s="3"/>
      <x:c r="E40" s="3"/>
      <x:c r="F40" s="3"/>
      <x:c r="G40" s="3"/>
      <x:c r="H40" s="3"/>
      <x:c r="I40" s="3"/>
      <x:c r="J40" s="3"/>
      <x:c r="K40" s="3"/>
      <x:c r="L40" s="3"/>
      <x:c r="M40" s="3"/>
    </x:row>
    <x:row r="41">
      <x:c r="A41" s="3"/>
      <x:c r="B41" s="3"/>
      <x:c r="C41" s="3"/>
      <x:c r="D41" s="3"/>
      <x:c r="E41" s="3"/>
      <x:c r="F41" s="3"/>
      <x:c r="G41" s="3"/>
      <x:c r="H41" s="3"/>
      <x:c r="I41" s="3"/>
      <x:c r="J41" s="3"/>
      <x:c r="K41" s="3"/>
      <x:c r="L41" s="3"/>
      <x:c r="M41" s="3"/>
    </x:row>
    <x:row r="42">
      <x:c r="A42" s="3"/>
      <x:c r="B42" s="3"/>
      <x:c r="C42" s="3"/>
      <x:c r="D42" s="3"/>
      <x:c r="E42" s="3"/>
      <x:c r="F42" s="3"/>
      <x:c r="G42" s="3"/>
      <x:c r="H42" s="3"/>
      <x:c r="I42" s="3"/>
      <x:c r="J42" s="3"/>
      <x:c r="K42" s="3"/>
      <x:c r="L42" s="3"/>
      <x:c r="M42" s="3"/>
    </x:row>
    <x:row r="43">
      <x:c r="A43" s="3"/>
      <x:c r="B43" s="3"/>
      <x:c r="C43" s="3"/>
      <x:c r="D43" s="3"/>
      <x:c r="E43" s="3"/>
      <x:c r="F43" s="3"/>
      <x:c r="G43" s="3"/>
      <x:c r="H43" s="3"/>
      <x:c r="I43" s="3"/>
      <x:c r="J43" s="3"/>
      <x:c r="K43" s="3"/>
      <x:c r="L43" s="3"/>
      <x:c r="M43" s="3"/>
    </x:row>
    <x:row r="44">
      <x:c r="A44" s="3"/>
      <x:c r="B44" s="3"/>
      <x:c r="C44" s="3"/>
      <x:c r="D44" s="3"/>
      <x:c r="E44" s="3"/>
      <x:c r="F44" s="3"/>
      <x:c r="G44" s="3"/>
      <x:c r="H44" s="3"/>
      <x:c r="I44" s="3"/>
      <x:c r="J44" s="3"/>
      <x:c r="K44" s="3"/>
      <x:c r="L44" s="3"/>
      <x:c r="M44" s="3"/>
    </x:row>
    <x:row r="45">
      <x:c r="A45" s="3"/>
      <x:c r="B45" s="3"/>
      <x:c r="C45" s="3"/>
      <x:c r="D45" s="3"/>
      <x:c r="E45" s="3"/>
      <x:c r="F45" s="3"/>
      <x:c r="G45" s="3"/>
      <x:c r="H45" s="3"/>
      <x:c r="I45" s="3"/>
      <x:c r="J45" s="3"/>
      <x:c r="K45" s="3"/>
      <x:c r="L45" s="3"/>
      <x:c r="M45" s="3"/>
    </x:row>
    <x:row r="46">
      <x:c r="A46" s="3"/>
      <x:c r="B46" s="3"/>
      <x:c r="C46" s="3"/>
      <x:c r="D46" s="3"/>
      <x:c r="E46" s="3"/>
      <x:c r="F46" s="3"/>
      <x:c r="G46" s="3"/>
      <x:c r="H46" s="3"/>
      <x:c r="I46" s="3"/>
      <x:c r="J46" s="3"/>
      <x:c r="K46" s="3"/>
      <x:c r="L46" s="3"/>
      <x:c r="M46" s="3"/>
    </x:row>
    <x:row r="47">
      <x:c r="A47" s="3"/>
      <x:c r="B47" s="3"/>
      <x:c r="C47" s="3"/>
      <x:c r="D47" s="3"/>
      <x:c r="E47" s="3"/>
      <x:c r="F47" s="3"/>
      <x:c r="G47" s="3"/>
      <x:c r="H47" s="3"/>
      <x:c r="I47" s="3"/>
      <x:c r="J47" s="3"/>
      <x:c r="K47" s="3"/>
      <x:c r="L47" s="3"/>
      <x:c r="M47" s="3"/>
    </x:row>
    <x:row r="48">
      <x:c r="A48" s="3"/>
      <x:c r="B48" s="3"/>
      <x:c r="C48" s="3"/>
      <x:c r="D48" s="3"/>
      <x:c r="E48" s="3"/>
      <x:c r="F48" s="3"/>
      <x:c r="G48" s="3"/>
      <x:c r="H48" s="3"/>
      <x:c r="I48" s="3"/>
      <x:c r="J48" s="3"/>
      <x:c r="K48" s="3"/>
      <x:c r="L48" s="3"/>
      <x:c r="M48" s="3"/>
    </x:row>
    <x:row r="49">
      <x:c r="A49" s="3"/>
      <x:c r="B49" s="3"/>
      <x:c r="C49" s="3"/>
      <x:c r="D49" s="3"/>
      <x:c r="E49" s="3"/>
      <x:c r="F49" s="3"/>
      <x:c r="G49" s="3"/>
      <x:c r="H49" s="3"/>
      <x:c r="I49" s="3"/>
      <x:c r="J49" s="3"/>
      <x:c r="K49" s="3"/>
      <x:c r="L49" s="3"/>
      <x:c r="M49" s="3"/>
    </x:row>
    <x:row r="50">
      <x:c r="A50" s="3"/>
      <x:c r="B50" s="3"/>
      <x:c r="C50" s="3"/>
      <x:c r="D50" s="3"/>
      <x:c r="E50" s="3"/>
      <x:c r="F50" s="3"/>
      <x:c r="G50" s="3"/>
      <x:c r="H50" s="3"/>
      <x:c r="I50" s="3"/>
      <x:c r="J50" s="3"/>
      <x:c r="K50" s="3"/>
      <x:c r="L50" s="3"/>
      <x:c r="M50" s="3"/>
    </x:row>
    <x:row r="51">
      <x:c r="A51" s="3"/>
      <x:c r="B51" s="3"/>
      <x:c r="C51" s="3"/>
      <x:c r="D51" s="3"/>
      <x:c r="E51" s="3"/>
      <x:c r="F51" s="3"/>
      <x:c r="G51" s="3"/>
      <x:c r="H51" s="3"/>
      <x:c r="I51" s="3"/>
      <x:c r="J51" s="3"/>
      <x:c r="K51" s="3"/>
      <x:c r="L51" s="3"/>
      <x:c r="M51" s="3"/>
    </x:row>
    <x:row r="52">
      <x:c r="A52" s="3"/>
      <x:c r="B52" s="3"/>
      <x:c r="C52" s="3"/>
      <x:c r="D52" s="3"/>
      <x:c r="E52" s="3"/>
      <x:c r="F52" s="3"/>
      <x:c r="G52" s="3"/>
      <x:c r="H52" s="3"/>
      <x:c r="I52" s="3"/>
      <x:c r="J52" s="3"/>
      <x:c r="K52" s="3"/>
      <x:c r="L52" s="3"/>
      <x:c r="M52" s="3"/>
    </x:row>
    <x:row r="53">
      <x:c r="A53" s="3"/>
      <x:c r="B53" s="3"/>
      <x:c r="C53" s="3"/>
      <x:c r="D53" s="3"/>
      <x:c r="E53" s="3"/>
      <x:c r="F53" s="3"/>
      <x:c r="G53" s="3"/>
      <x:c r="H53" s="3"/>
      <x:c r="I53" s="3"/>
      <x:c r="J53" s="3"/>
      <x:c r="K53" s="3"/>
      <x:c r="L53" s="3"/>
      <x:c r="M53" s="3"/>
    </x:row>
    <x:row r="54">
      <x:c r="A54" s="3"/>
      <x:c r="B54" s="3"/>
      <x:c r="C54" s="3"/>
      <x:c r="D54" s="3"/>
      <x:c r="E54" s="3"/>
      <x:c r="F54" s="3"/>
      <x:c r="G54" s="3"/>
      <x:c r="H54" s="3"/>
      <x:c r="I54" s="3"/>
      <x:c r="J54" s="3"/>
      <x:c r="K54" s="3"/>
      <x:c r="L54" s="3"/>
      <x:c r="M54" s="3"/>
    </x:row>
    <x:row r="55">
      <x:c r="A55" s="3"/>
      <x:c r="B55" s="3"/>
      <x:c r="C55" s="3"/>
      <x:c r="D55" s="3"/>
      <x:c r="E55" s="3"/>
      <x:c r="F55" s="3"/>
      <x:c r="G55" s="3"/>
      <x:c r="H55" s="3"/>
      <x:c r="I55" s="3"/>
      <x:c r="J55" s="3"/>
      <x:c r="K55" s="3"/>
      <x:c r="L55" s="3"/>
      <x:c r="M55" s="3"/>
    </x:row>
    <x:row r="56">
      <x:c r="A56" s="3"/>
      <x:c r="B56" s="3"/>
      <x:c r="C56" s="3"/>
      <x:c r="D56" s="3"/>
      <x:c r="E56" s="3"/>
      <x:c r="F56" s="3"/>
      <x:c r="G56" s="3"/>
      <x:c r="H56" s="3"/>
      <x:c r="I56" s="3"/>
      <x:c r="J56" s="3"/>
      <x:c r="K56" s="3"/>
      <x:c r="L56" s="3"/>
      <x:c r="M56" s="3"/>
    </x:row>
    <x:row r="57">
      <x:c r="A57" s="3"/>
      <x:c r="B57" s="3"/>
      <x:c r="C57" s="3"/>
      <x:c r="D57" s="3"/>
      <x:c r="E57" s="3"/>
      <x:c r="F57" s="3"/>
      <x:c r="G57" s="3"/>
      <x:c r="H57" s="3"/>
      <x:c r="I57" s="3"/>
      <x:c r="J57" s="3"/>
      <x:c r="K57" s="3"/>
      <x:c r="L57" s="3"/>
      <x:c r="M57" s="3"/>
    </x:row>
    <x:row r="58">
      <x:c r="A58" s="3"/>
      <x:c r="B58" s="3"/>
      <x:c r="C58" s="3"/>
      <x:c r="D58" s="3"/>
      <x:c r="E58" s="3"/>
      <x:c r="F58" s="3"/>
      <x:c r="G58" s="3"/>
      <x:c r="H58" s="3"/>
      <x:c r="I58" s="3"/>
      <x:c r="J58" s="3"/>
      <x:c r="K58" s="3"/>
      <x:c r="L58" s="3"/>
      <x:c r="M58" s="3"/>
    </x:row>
    <x:row r="59">
      <x:c r="A59" s="3"/>
      <x:c r="B59" s="3"/>
      <x:c r="C59" s="3"/>
      <x:c r="D59" s="3"/>
      <x:c r="E59" s="3"/>
      <x:c r="F59" s="3"/>
      <x:c r="G59" s="3"/>
      <x:c r="H59" s="3"/>
      <x:c r="I59" s="3"/>
      <x:c r="J59" s="3"/>
      <x:c r="K59" s="3"/>
      <x:c r="L59" s="3"/>
      <x:c r="M59" s="3"/>
    </x:row>
    <x:row r="60">
      <x:c r="A60" s="3"/>
      <x:c r="B60" s="3"/>
      <x:c r="C60" s="3"/>
      <x:c r="D60" s="3"/>
      <x:c r="E60" s="3"/>
      <x:c r="F60" s="3"/>
      <x:c r="G60" s="3"/>
      <x:c r="H60" s="3"/>
      <x:c r="I60" s="3"/>
      <x:c r="J60" s="3"/>
      <x:c r="K60" s="3"/>
      <x:c r="L60" s="3"/>
      <x:c r="M60" s="3"/>
    </x:row>
    <x:row r="61">
      <x:c r="A61" s="3"/>
      <x:c r="B61" s="3"/>
      <x:c r="C61" s="3"/>
      <x:c r="D61" s="3"/>
      <x:c r="E61" s="3"/>
      <x:c r="F61" s="3"/>
      <x:c r="G61" s="3"/>
      <x:c r="H61" s="3"/>
      <x:c r="I61" s="3"/>
      <x:c r="J61" s="3"/>
      <x:c r="K61" s="3"/>
      <x:c r="L61" s="3"/>
      <x:c r="M61" s="3"/>
    </x:row>
    <x:row r="62">
      <x:c r="A62" s="3"/>
      <x:c r="B62" s="3"/>
      <x:c r="C62" s="3"/>
      <x:c r="D62" s="3"/>
      <x:c r="E62" s="3"/>
      <x:c r="F62" s="3"/>
      <x:c r="G62" s="3"/>
      <x:c r="H62" s="3"/>
      <x:c r="I62" s="3"/>
      <x:c r="J62" s="3"/>
      <x:c r="K62" s="3"/>
      <x:c r="L62" s="3"/>
      <x:c r="M62" s="3"/>
    </x:row>
    <x:row r="63">
      <x:c r="A63" s="3"/>
      <x:c r="B63" s="3"/>
      <x:c r="C63" s="3"/>
      <x:c r="D63" s="3"/>
      <x:c r="E63" s="3"/>
      <x:c r="F63" s="3"/>
      <x:c r="G63" s="3"/>
      <x:c r="H63" s="3"/>
      <x:c r="I63" s="3"/>
      <x:c r="J63" s="3"/>
      <x:c r="K63" s="3"/>
      <x:c r="L63" s="3"/>
      <x:c r="M63" s="3"/>
    </x:row>
    <x:row r="64">
      <x:c r="A64" s="3"/>
      <x:c r="B64" s="3"/>
      <x:c r="C64" s="3"/>
      <x:c r="D64" s="3"/>
      <x:c r="E64" s="3"/>
      <x:c r="F64" s="3"/>
      <x:c r="G64" s="3"/>
      <x:c r="H64" s="3"/>
      <x:c r="I64" s="3"/>
      <x:c r="J64" s="3"/>
      <x:c r="K64" s="3"/>
      <x:c r="L64" s="3"/>
      <x:c r="M64" s="3"/>
    </x:row>
    <x:row r="65">
      <x:c r="A65" s="3"/>
      <x:c r="B65" s="3"/>
      <x:c r="C65" s="3"/>
      <x:c r="D65" s="3"/>
      <x:c r="E65" s="3"/>
      <x:c r="F65" s="3"/>
      <x:c r="G65" s="3"/>
      <x:c r="H65" s="3"/>
      <x:c r="I65" s="3"/>
      <x:c r="J65" s="3"/>
      <x:c r="K65" s="3"/>
      <x:c r="L65" s="3"/>
      <x:c r="M65" s="3"/>
    </x:row>
    <x:row r="66">
      <x:c r="A66" s="3"/>
      <x:c r="B66" s="3"/>
      <x:c r="C66" s="3"/>
      <x:c r="D66" s="3"/>
      <x:c r="E66" s="3"/>
      <x:c r="F66" s="3"/>
      <x:c r="G66" s="3"/>
      <x:c r="H66" s="3"/>
      <x:c r="I66" s="3"/>
      <x:c r="J66" s="3"/>
      <x:c r="K66" s="3"/>
      <x:c r="L66" s="3"/>
      <x:c r="M66" s="3"/>
    </x:row>
    <x:row r="67">
      <x:c r="A67" s="3"/>
      <x:c r="B67" s="3"/>
      <x:c r="C67" s="3"/>
      <x:c r="D67" s="3"/>
      <x:c r="E67" s="3"/>
      <x:c r="F67" s="3"/>
      <x:c r="G67" s="3"/>
      <x:c r="H67" s="3"/>
      <x:c r="I67" s="3"/>
      <x:c r="J67" s="3"/>
      <x:c r="K67" s="3"/>
      <x:c r="L67" s="3"/>
      <x:c r="M67" s="3"/>
    </x:row>
    <x:row r="68">
      <x:c r="A68" s="3"/>
      <x:c r="B68" s="3"/>
      <x:c r="C68" s="3"/>
      <x:c r="D68" s="3"/>
      <x:c r="E68" s="3"/>
      <x:c r="F68" s="3"/>
      <x:c r="G68" s="3"/>
      <x:c r="H68" s="3"/>
      <x:c r="I68" s="3"/>
      <x:c r="J68" s="3"/>
      <x:c r="K68" s="3"/>
      <x:c r="L68" s="3"/>
      <x:c r="M68" s="3"/>
    </x:row>
    <x:row r="69">
      <x:c r="A69" s="3"/>
      <x:c r="B69" s="3"/>
      <x:c r="C69" s="3"/>
      <x:c r="D69" s="3"/>
      <x:c r="E69" s="3"/>
      <x:c r="F69" s="3"/>
      <x:c r="G69" s="3"/>
      <x:c r="H69" s="3"/>
      <x:c r="I69" s="3"/>
      <x:c r="J69" s="3"/>
      <x:c r="K69" s="3"/>
      <x:c r="L69" s="3"/>
      <x:c r="M69" s="3"/>
    </x:row>
    <x:row r="70">
      <x:c r="A70" s="3"/>
      <x:c r="B70" s="3"/>
      <x:c r="C70" s="3"/>
      <x:c r="D70" s="3"/>
      <x:c r="E70" s="3"/>
      <x:c r="F70" s="3"/>
      <x:c r="G70" s="3"/>
      <x:c r="H70" s="3"/>
      <x:c r="I70" s="3"/>
      <x:c r="J70" s="3"/>
      <x:c r="K70" s="3"/>
      <x:c r="L70" s="3"/>
      <x:c r="M70" s="3"/>
    </x:row>
    <x:row r="71">
      <x:c r="A71" s="3"/>
      <x:c r="B71" s="3"/>
      <x:c r="C71" s="3"/>
      <x:c r="D71" s="3"/>
      <x:c r="E71" s="3"/>
      <x:c r="F71" s="3"/>
      <x:c r="G71" s="3"/>
      <x:c r="H71" s="3"/>
      <x:c r="I71" s="3"/>
      <x:c r="J71" s="3"/>
      <x:c r="K71" s="3"/>
      <x:c r="L71" s="3"/>
      <x:c r="M71" s="3"/>
    </x:row>
    <x:row r="72">
      <x:c r="A72" s="3"/>
      <x:c r="B72" s="3"/>
      <x:c r="C72" s="3"/>
      <x:c r="D72" s="3"/>
      <x:c r="E72" s="3"/>
      <x:c r="F72" s="3"/>
      <x:c r="G72" s="3"/>
      <x:c r="H72" s="3"/>
      <x:c r="I72" s="3"/>
      <x:c r="J72" s="3"/>
      <x:c r="K72" s="3"/>
      <x:c r="L72" s="3"/>
      <x:c r="M72" s="3"/>
    </x:row>
    <x:row r="73">
      <x:c r="A73" s="3"/>
      <x:c r="B73" s="3"/>
      <x:c r="C73" s="3"/>
      <x:c r="D73" s="3"/>
      <x:c r="E73" s="3"/>
      <x:c r="F73" s="3"/>
      <x:c r="G73" s="3"/>
      <x:c r="H73" s="3"/>
      <x:c r="I73" s="3"/>
      <x:c r="J73" s="3"/>
      <x:c r="K73" s="3"/>
      <x:c r="L73" s="3"/>
      <x:c r="M73" s="3"/>
    </x:row>
    <x:row r="74">
      <x:c r="A74" s="3"/>
      <x:c r="B74" s="3"/>
      <x:c r="C74" s="3"/>
      <x:c r="D74" s="3"/>
      <x:c r="E74" s="3"/>
      <x:c r="F74" s="3"/>
      <x:c r="G74" s="3"/>
      <x:c r="H74" s="3"/>
      <x:c r="I74" s="3"/>
      <x:c r="J74" s="3"/>
      <x:c r="K74" s="3"/>
      <x:c r="L74" s="3"/>
      <x:c r="M74" s="3"/>
    </x:row>
    <x:row r="75">
      <x:c r="A75" s="3"/>
      <x:c r="B75" s="3"/>
      <x:c r="C75" s="3"/>
      <x:c r="D75" s="3"/>
      <x:c r="E75" s="3"/>
      <x:c r="F75" s="3"/>
      <x:c r="G75" s="3"/>
      <x:c r="H75" s="3"/>
      <x:c r="I75" s="3"/>
      <x:c r="J75" s="3"/>
      <x:c r="K75" s="3"/>
      <x:c r="L75" s="3"/>
      <x:c r="M75" s="3"/>
    </x:row>
    <x:row r="76">
      <x:c r="A76" s="3"/>
      <x:c r="B76" s="3"/>
      <x:c r="C76" s="3"/>
      <x:c r="D76" s="3"/>
      <x:c r="E76" s="3"/>
      <x:c r="F76" s="3"/>
      <x:c r="G76" s="3"/>
      <x:c r="H76" s="3"/>
      <x:c r="I76" s="3"/>
      <x:c r="J76" s="3"/>
      <x:c r="K76" s="3"/>
      <x:c r="L76" s="3"/>
      <x:c r="M76" s="3"/>
    </x:row>
    <x:row r="77">
      <x:c r="A77" s="3"/>
      <x:c r="B77" s="3"/>
      <x:c r="C77" s="3"/>
      <x:c r="D77" s="3"/>
      <x:c r="E77" s="3"/>
      <x:c r="F77" s="3"/>
      <x:c r="G77" s="3"/>
      <x:c r="H77" s="3"/>
      <x:c r="I77" s="3"/>
      <x:c r="J77" s="3"/>
      <x:c r="K77" s="3"/>
      <x:c r="L77" s="3"/>
      <x:c r="M77" s="3"/>
    </x:row>
    <x:row r="78">
      <x:c r="A78" s="3"/>
      <x:c r="B78" s="3"/>
      <x:c r="C78" s="3"/>
      <x:c r="D78" s="3"/>
      <x:c r="E78" s="3"/>
      <x:c r="F78" s="3"/>
      <x:c r="G78" s="3"/>
      <x:c r="H78" s="3"/>
      <x:c r="I78" s="3"/>
      <x:c r="J78" s="3"/>
      <x:c r="K78" s="3"/>
      <x:c r="L78" s="3"/>
      <x:c r="M78" s="3"/>
    </x:row>
    <x:row r="79">
      <x:c r="A79" s="3"/>
      <x:c r="B79" s="3"/>
      <x:c r="C79" s="3"/>
      <x:c r="D79" s="3"/>
      <x:c r="E79" s="3"/>
      <x:c r="F79" s="3"/>
      <x:c r="G79" s="3"/>
      <x:c r="H79" s="3"/>
      <x:c r="I79" s="3"/>
      <x:c r="J79" s="3"/>
      <x:c r="K79" s="3"/>
      <x:c r="L79" s="3"/>
      <x:c r="M79" s="3"/>
    </x:row>
    <x:row r="80">
      <x:c r="A80" s="3"/>
      <x:c r="B80" s="3"/>
      <x:c r="C80" s="3"/>
      <x:c r="D80" s="3"/>
      <x:c r="E80" s="3"/>
      <x:c r="F80" s="3"/>
      <x:c r="G80" s="3"/>
      <x:c r="H80" s="3"/>
      <x:c r="I80" s="3"/>
      <x:c r="J80" s="3"/>
      <x:c r="K80" s="3"/>
      <x:c r="L80" s="3"/>
      <x:c r="M80" s="3"/>
    </x:row>
    <x:row r="81">
      <x:c r="A81" s="3"/>
      <x:c r="B81" s="3"/>
      <x:c r="C81" s="3"/>
      <x:c r="D81" s="3"/>
      <x:c r="E81" s="3"/>
      <x:c r="F81" s="3"/>
      <x:c r="G81" s="3"/>
      <x:c r="H81" s="3"/>
      <x:c r="I81" s="3"/>
      <x:c r="J81" s="3"/>
      <x:c r="K81" s="3"/>
      <x:c r="L81" s="3"/>
      <x:c r="M81" s="3"/>
    </x:row>
    <x:row r="82">
      <x:c r="A82" s="3"/>
      <x:c r="B82" s="3"/>
      <x:c r="C82" s="3"/>
      <x:c r="D82" s="3"/>
      <x:c r="E82" s="3"/>
      <x:c r="F82" s="3"/>
      <x:c r="G82" s="3"/>
      <x:c r="H82" s="3"/>
      <x:c r="I82" s="3"/>
      <x:c r="J82" s="3"/>
      <x:c r="K82" s="3"/>
      <x:c r="L82" s="3"/>
      <x:c r="M82" s="3"/>
    </x:row>
    <x:row r="83">
      <x:c r="A83" s="3"/>
      <x:c r="B83" s="3"/>
      <x:c r="C83" s="3"/>
      <x:c r="D83" s="3"/>
      <x:c r="E83" s="3"/>
      <x:c r="F83" s="3"/>
      <x:c r="G83" s="3"/>
      <x:c r="H83" s="3"/>
      <x:c r="I83" s="3"/>
      <x:c r="J83" s="3"/>
      <x:c r="K83" s="3"/>
      <x:c r="L83" s="3"/>
      <x:c r="M83" s="3"/>
    </x:row>
    <x:row r="84">
      <x:c r="A84" s="3"/>
      <x:c r="B84" s="3"/>
      <x:c r="C84" s="3"/>
      <x:c r="D84" s="3"/>
      <x:c r="E84" s="3"/>
      <x:c r="F84" s="3"/>
      <x:c r="G84" s="3"/>
      <x:c r="H84" s="3"/>
      <x:c r="I84" s="3"/>
      <x:c r="J84" s="3"/>
      <x:c r="K84" s="3"/>
      <x:c r="L84" s="3"/>
      <x:c r="M84" s="3"/>
    </x:row>
    <x:row r="85">
      <x:c r="A85" s="3"/>
      <x:c r="B85" s="3"/>
      <x:c r="C85" s="3"/>
      <x:c r="D85" s="3"/>
      <x:c r="E85" s="3"/>
      <x:c r="F85" s="3"/>
      <x:c r="G85" s="3"/>
      <x:c r="H85" s="3"/>
      <x:c r="I85" s="3"/>
      <x:c r="J85" s="3"/>
      <x:c r="K85" s="3"/>
      <x:c r="L85" s="3"/>
      <x:c r="M85" s="3"/>
    </x:row>
    <x:row r="86">
      <x:c r="A86" s="3"/>
      <x:c r="B86" s="3"/>
      <x:c r="C86" s="3"/>
      <x:c r="D86" s="3"/>
      <x:c r="E86" s="3"/>
      <x:c r="F86" s="3"/>
      <x:c r="G86" s="3"/>
      <x:c r="H86" s="3"/>
      <x:c r="I86" s="3"/>
      <x:c r="J86" s="3"/>
      <x:c r="K86" s="3"/>
      <x:c r="L86" s="3"/>
      <x:c r="M86" s="3"/>
    </x:row>
    <x:row r="87">
      <x:c r="A87" s="3"/>
      <x:c r="B87" s="3"/>
      <x:c r="C87" s="3"/>
      <x:c r="D87" s="3"/>
      <x:c r="E87" s="3"/>
      <x:c r="F87" s="3"/>
      <x:c r="G87" s="3"/>
      <x:c r="H87" s="3"/>
      <x:c r="I87" s="3"/>
      <x:c r="J87" s="3"/>
      <x:c r="K87" s="3"/>
      <x:c r="L87" s="3"/>
      <x:c r="M87" s="3"/>
    </x:row>
    <x:row r="88">
      <x:c r="A88" s="3"/>
      <x:c r="B88" s="3"/>
      <x:c r="C88" s="3"/>
      <x:c r="D88" s="3"/>
      <x:c r="E88" s="3"/>
      <x:c r="F88" s="3"/>
      <x:c r="G88" s="3"/>
      <x:c r="H88" s="3"/>
      <x:c r="I88" s="3"/>
      <x:c r="J88" s="3"/>
      <x:c r="K88" s="3"/>
      <x:c r="L88" s="3"/>
      <x:c r="M88" s="3"/>
    </x:row>
    <x:row r="89">
      <x:c r="A89" s="3"/>
      <x:c r="B89" s="3"/>
      <x:c r="C89" s="3"/>
      <x:c r="D89" s="3"/>
      <x:c r="E89" s="3"/>
      <x:c r="F89" s="3"/>
      <x:c r="G89" s="3"/>
      <x:c r="H89" s="3"/>
      <x:c r="I89" s="3"/>
      <x:c r="J89" s="3"/>
      <x:c r="K89" s="3"/>
      <x:c r="L89" s="3"/>
      <x:c r="M89" s="3"/>
    </x:row>
    <x:row r="90">
      <x:c r="A90" s="3"/>
      <x:c r="B90" s="3"/>
      <x:c r="C90" s="3"/>
      <x:c r="D90" s="3"/>
      <x:c r="E90" s="3"/>
      <x:c r="F90" s="3"/>
      <x:c r="G90" s="3"/>
      <x:c r="H90" s="3"/>
      <x:c r="I90" s="3"/>
      <x:c r="J90" s="3"/>
      <x:c r="K90" s="3"/>
      <x:c r="L90" s="3"/>
      <x:c r="M90" s="3"/>
    </x:row>
    <x:row r="91">
      <x:c r="A91" s="3"/>
      <x:c r="B91" s="3"/>
      <x:c r="C91" s="3"/>
      <x:c r="D91" s="3"/>
      <x:c r="E91" s="3"/>
      <x:c r="F91" s="3"/>
      <x:c r="G91" s="3"/>
      <x:c r="H91" s="3"/>
      <x:c r="I91" s="3"/>
      <x:c r="J91" s="3"/>
      <x:c r="K91" s="3"/>
      <x:c r="L91" s="3"/>
      <x:c r="M91" s="3"/>
    </x:row>
    <x:row r="92">
      <x:c r="A92" s="3"/>
      <x:c r="B92" s="3"/>
      <x:c r="C92" s="3"/>
      <x:c r="D92" s="3"/>
      <x:c r="E92" s="3"/>
      <x:c r="F92" s="3"/>
      <x:c r="G92" s="3"/>
      <x:c r="H92" s="3"/>
      <x:c r="I92" s="3"/>
      <x:c r="J92" s="3"/>
      <x:c r="K92" s="3"/>
      <x:c r="L92" s="3"/>
      <x:c r="M92" s="3"/>
    </x:row>
    <x:row r="93">
      <x:c r="A93" s="3"/>
      <x:c r="B93" s="3"/>
      <x:c r="C93" s="3"/>
      <x:c r="D93" s="3"/>
      <x:c r="E93" s="3"/>
      <x:c r="F93" s="3"/>
      <x:c r="G93" s="3"/>
      <x:c r="H93" s="3"/>
      <x:c r="I93" s="3"/>
      <x:c r="J93" s="3"/>
      <x:c r="K93" s="3"/>
      <x:c r="L93" s="3"/>
      <x:c r="M93" s="3"/>
    </x:row>
    <x:row r="94">
      <x:c r="A94" s="3"/>
      <x:c r="B94" s="3"/>
      <x:c r="C94" s="3"/>
      <x:c r="D94" s="3"/>
      <x:c r="E94" s="3"/>
      <x:c r="F94" s="3"/>
      <x:c r="G94" s="3"/>
      <x:c r="H94" s="3"/>
      <x:c r="I94" s="3"/>
      <x:c r="J94" s="3"/>
      <x:c r="K94" s="3"/>
      <x:c r="L94" s="3"/>
      <x:c r="M94" s="3"/>
    </x:row>
    <x:row r="95">
      <x:c r="A95" s="3"/>
      <x:c r="B95" s="3"/>
      <x:c r="C95" s="3"/>
      <x:c r="D95" s="3"/>
      <x:c r="E95" s="3"/>
      <x:c r="F95" s="3"/>
      <x:c r="G95" s="3"/>
      <x:c r="H95" s="3"/>
      <x:c r="I95" s="3"/>
      <x:c r="J95" s="3"/>
      <x:c r="K95" s="3"/>
      <x:c r="L95" s="3"/>
      <x:c r="M95" s="3"/>
    </x:row>
    <x:row r="96">
      <x:c r="A96" s="3"/>
      <x:c r="B96" s="3"/>
      <x:c r="C96" s="3"/>
      <x:c r="D96" s="3"/>
      <x:c r="E96" s="3"/>
      <x:c r="F96" s="3"/>
      <x:c r="G96" s="3"/>
      <x:c r="H96" s="3"/>
      <x:c r="I96" s="3"/>
      <x:c r="J96" s="3"/>
      <x:c r="K96" s="3"/>
      <x:c r="L96" s="3"/>
      <x:c r="M96" s="3"/>
    </x:row>
    <x:row r="97">
      <x:c r="A97" s="3"/>
      <x:c r="B97" s="3"/>
      <x:c r="C97" s="3"/>
      <x:c r="D97" s="3"/>
      <x:c r="E97" s="3"/>
      <x:c r="F97" s="3"/>
      <x:c r="G97" s="3"/>
      <x:c r="H97" s="3"/>
      <x:c r="I97" s="3"/>
      <x:c r="J97" s="3"/>
      <x:c r="K97" s="3"/>
      <x:c r="L97" s="3"/>
      <x:c r="M97" s="3"/>
    </x:row>
    <x:row r="98">
      <x:c r="A98" s="3"/>
      <x:c r="B98" s="3"/>
      <x:c r="C98" s="3"/>
      <x:c r="D98" s="3"/>
      <x:c r="E98" s="3"/>
      <x:c r="F98" s="3"/>
      <x:c r="G98" s="3"/>
      <x:c r="H98" s="3"/>
      <x:c r="I98" s="3"/>
      <x:c r="J98" s="3"/>
      <x:c r="K98" s="3"/>
      <x:c r="L98" s="3"/>
      <x:c r="M98" s="3"/>
    </x:row>
    <x:row r="99">
      <x:c r="A99" s="3"/>
      <x:c r="B99" s="3"/>
      <x:c r="C99" s="3"/>
      <x:c r="D99" s="3"/>
      <x:c r="E99" s="3"/>
      <x:c r="F99" s="3"/>
      <x:c r="G99" s="3"/>
      <x:c r="H99" s="3"/>
      <x:c r="I99" s="3"/>
      <x:c r="J99" s="3"/>
      <x:c r="K99" s="3"/>
      <x:c r="L99" s="3"/>
      <x:c r="M99" s="3"/>
    </x:row>
    <x:row r="100">
      <x:c r="A100" s="3"/>
      <x:c r="B100" s="3"/>
      <x:c r="C100" s="3"/>
      <x:c r="D100" s="3"/>
      <x:c r="E100" s="3"/>
      <x:c r="F100" s="3"/>
      <x:c r="G100" s="3"/>
      <x:c r="H100" s="3"/>
      <x:c r="I100" s="3"/>
      <x:c r="J100" s="3"/>
      <x:c r="K100" s="3"/>
      <x:c r="L100" s="3"/>
      <x:c r="M100" s="3"/>
    </x:row>
    <x:row r="101">
      <x:c r="A101" s="3"/>
      <x:c r="B101" s="3"/>
      <x:c r="C101" s="3"/>
      <x:c r="D101" s="3"/>
      <x:c r="E101" s="3"/>
      <x:c r="F101" s="3"/>
      <x:c r="G101" s="3"/>
      <x:c r="H101" s="3"/>
      <x:c r="I101" s="3"/>
      <x:c r="J101" s="3"/>
      <x:c r="K101" s="3"/>
      <x:c r="L101" s="3"/>
      <x:c r="M101" s="3"/>
    </x:row>
    <x:row r="102">
      <x:c r="A102" s="3"/>
      <x:c r="B102" s="3"/>
      <x:c r="C102" s="3"/>
      <x:c r="D102" s="3"/>
      <x:c r="E102" s="3"/>
      <x:c r="F102" s="3"/>
      <x:c r="G102" s="3"/>
      <x:c r="H102" s="3"/>
      <x:c r="I102" s="3"/>
      <x:c r="J102" s="3"/>
      <x:c r="K102" s="3"/>
      <x:c r="L102" s="3"/>
      <x:c r="M102" s="3"/>
    </x:row>
    <x:row r="103">
      <x:c r="A103" s="3"/>
      <x:c r="B103" s="3"/>
      <x:c r="C103" s="3"/>
      <x:c r="D103" s="3"/>
      <x:c r="E103" s="3"/>
      <x:c r="F103" s="3"/>
      <x:c r="G103" s="3"/>
      <x:c r="H103" s="3"/>
      <x:c r="I103" s="3"/>
      <x:c r="J103" s="3"/>
      <x:c r="K103" s="3"/>
      <x:c r="L103" s="3"/>
      <x:c r="M103" s="3"/>
    </x:row>
    <x:row r="104">
      <x:c r="A104" s="3"/>
      <x:c r="B104" s="3"/>
      <x:c r="C104" s="3"/>
      <x:c r="D104" s="3"/>
      <x:c r="E104" s="3"/>
      <x:c r="F104" s="3"/>
      <x:c r="G104" s="3"/>
      <x:c r="H104" s="3"/>
      <x:c r="I104" s="3"/>
      <x:c r="J104" s="3"/>
      <x:c r="K104" s="3"/>
      <x:c r="L104" s="3"/>
      <x:c r="M104" s="3"/>
    </x:row>
    <x:row r="105">
      <x:c r="A105" s="3"/>
      <x:c r="B105" s="3"/>
      <x:c r="C105" s="3"/>
      <x:c r="D105" s="3"/>
      <x:c r="E105" s="3"/>
      <x:c r="F105" s="3"/>
      <x:c r="G105" s="3"/>
      <x:c r="H105" s="3"/>
      <x:c r="I105" s="3"/>
      <x:c r="J105" s="3"/>
      <x:c r="K105" s="3"/>
      <x:c r="L105" s="3"/>
      <x:c r="M105" s="3"/>
    </x:row>
    <x:row r="106">
      <x:c r="A106" s="3"/>
      <x:c r="B106" s="3"/>
      <x:c r="C106" s="3"/>
      <x:c r="D106" s="3"/>
      <x:c r="E106" s="3"/>
      <x:c r="F106" s="3"/>
      <x:c r="G106" s="3"/>
      <x:c r="H106" s="3"/>
      <x:c r="I106" s="3"/>
      <x:c r="J106" s="3"/>
      <x:c r="K106" s="3"/>
      <x:c r="L106" s="3"/>
      <x:c r="M106" s="3"/>
    </x:row>
    <x:row r="107">
      <x:c r="A107" s="3"/>
      <x:c r="B107" s="3"/>
      <x:c r="C107" s="3"/>
      <x:c r="D107" s="3"/>
      <x:c r="E107" s="3"/>
      <x:c r="F107" s="3"/>
      <x:c r="G107" s="3"/>
      <x:c r="H107" s="3"/>
      <x:c r="I107" s="3"/>
      <x:c r="J107" s="3"/>
      <x:c r="K107" s="3"/>
      <x:c r="L107" s="3"/>
      <x:c r="M107" s="3"/>
    </x:row>
    <x:row r="108">
      <x:c r="A108" s="3"/>
      <x:c r="B108" s="3"/>
      <x:c r="C108" s="3"/>
      <x:c r="D108" s="3"/>
      <x:c r="E108" s="3"/>
      <x:c r="F108" s="3"/>
      <x:c r="G108" s="3"/>
      <x:c r="H108" s="3"/>
      <x:c r="I108" s="3"/>
      <x:c r="J108" s="3"/>
      <x:c r="K108" s="3"/>
      <x:c r="L108" s="3"/>
      <x:c r="M108" s="3"/>
    </x:row>
    <x:row r="109">
      <x:c r="A109" s="3"/>
      <x:c r="B109" s="3"/>
      <x:c r="C109" s="3"/>
      <x:c r="D109" s="3"/>
      <x:c r="E109" s="3"/>
      <x:c r="F109" s="3"/>
      <x:c r="G109" s="3"/>
      <x:c r="H109" s="3"/>
      <x:c r="I109" s="3"/>
      <x:c r="J109" s="3"/>
      <x:c r="K109" s="3"/>
      <x:c r="L109" s="3"/>
      <x:c r="M109" s="3"/>
    </x:row>
    <x:row r="110">
      <x:c r="A110" s="3"/>
      <x:c r="B110" s="3"/>
      <x:c r="C110" s="3"/>
      <x:c r="D110" s="3"/>
      <x:c r="E110" s="3"/>
      <x:c r="F110" s="3"/>
      <x:c r="G110" s="3"/>
      <x:c r="H110" s="3"/>
      <x:c r="I110" s="3"/>
      <x:c r="J110" s="3"/>
      <x:c r="K110" s="3"/>
      <x:c r="L110" s="3"/>
      <x:c r="M110" s="3"/>
    </x:row>
    <x:row r="111">
      <x:c r="A111" s="3"/>
      <x:c r="B111" s="3"/>
      <x:c r="C111" s="3"/>
      <x:c r="D111" s="3"/>
      <x:c r="E111" s="3"/>
      <x:c r="F111" s="3"/>
      <x:c r="G111" s="3"/>
      <x:c r="H111" s="3"/>
      <x:c r="I111" s="3"/>
      <x:c r="J111" s="3"/>
      <x:c r="K111" s="3"/>
      <x:c r="L111" s="3"/>
      <x:c r="M111" s="3"/>
    </x:row>
    <x:row r="112">
      <x:c r="A112" s="3"/>
      <x:c r="B112" s="3"/>
      <x:c r="C112" s="3"/>
      <x:c r="D112" s="3"/>
      <x:c r="E112" s="3"/>
      <x:c r="F112" s="3"/>
      <x:c r="G112" s="3"/>
      <x:c r="H112" s="3"/>
      <x:c r="I112" s="3"/>
      <x:c r="J112" s="3"/>
      <x:c r="K112" s="3"/>
      <x:c r="L112" s="3"/>
      <x:c r="M112" s="3"/>
    </x:row>
    <x:row r="113">
      <x:c r="A113" s="3"/>
      <x:c r="B113" s="3"/>
      <x:c r="C113" s="3"/>
      <x:c r="D113" s="3"/>
      <x:c r="E113" s="3"/>
      <x:c r="F113" s="3"/>
      <x:c r="G113" s="3"/>
      <x:c r="H113" s="3"/>
      <x:c r="I113" s="3"/>
      <x:c r="J113" s="3"/>
      <x:c r="K113" s="3"/>
      <x:c r="L113" s="3"/>
      <x:c r="M113" s="3"/>
    </x:row>
    <x:row r="114">
      <x:c r="A114" s="3"/>
      <x:c r="B114" s="3"/>
      <x:c r="C114" s="3"/>
      <x:c r="D114" s="3"/>
      <x:c r="E114" s="3"/>
      <x:c r="F114" s="3"/>
      <x:c r="G114" s="3"/>
      <x:c r="H114" s="3"/>
      <x:c r="I114" s="3"/>
      <x:c r="J114" s="3"/>
      <x:c r="K114" s="3"/>
      <x:c r="L114" s="3"/>
      <x:c r="M114" s="3"/>
    </x:row>
    <x:row r="115">
      <x:c r="A115" s="3"/>
      <x:c r="B115" s="3"/>
      <x:c r="C115" s="3"/>
      <x:c r="D115" s="3"/>
      <x:c r="E115" s="3"/>
      <x:c r="F115" s="3"/>
      <x:c r="G115" s="3"/>
      <x:c r="H115" s="3"/>
      <x:c r="I115" s="3"/>
      <x:c r="J115" s="3"/>
      <x:c r="K115" s="3"/>
      <x:c r="L115" s="3"/>
      <x:c r="M115" s="3"/>
    </x:row>
    <x:row r="116">
      <x:c r="A116" s="3"/>
      <x:c r="B116" s="3"/>
      <x:c r="C116" s="3"/>
      <x:c r="D116" s="3"/>
      <x:c r="E116" s="3"/>
      <x:c r="F116" s="3"/>
      <x:c r="G116" s="3"/>
      <x:c r="H116" s="3"/>
      <x:c r="I116" s="3"/>
      <x:c r="J116" s="3"/>
      <x:c r="K116" s="3"/>
      <x:c r="L116" s="3"/>
      <x:c r="M116" s="3"/>
    </x:row>
    <x:row r="117">
      <x:c r="A117" s="3"/>
      <x:c r="B117" s="3"/>
      <x:c r="C117" s="3"/>
      <x:c r="D117" s="3"/>
      <x:c r="E117" s="3"/>
      <x:c r="F117" s="3"/>
      <x:c r="G117" s="3"/>
      <x:c r="H117" s="3"/>
      <x:c r="I117" s="3"/>
      <x:c r="J117" s="3"/>
      <x:c r="K117" s="3"/>
      <x:c r="L117" s="3"/>
      <x:c r="M117" s="3"/>
    </x:row>
    <x:row r="118">
      <x:c r="A118" s="3"/>
      <x:c r="B118" s="3"/>
      <x:c r="C118" s="3"/>
      <x:c r="D118" s="3"/>
      <x:c r="E118" s="3"/>
      <x:c r="F118" s="3"/>
      <x:c r="G118" s="3"/>
      <x:c r="H118" s="3"/>
      <x:c r="I118" s="3"/>
      <x:c r="J118" s="3"/>
      <x:c r="K118" s="3"/>
      <x:c r="L118" s="3"/>
      <x:c r="M118" s="3"/>
    </x:row>
    <x:row r="119">
      <x:c r="A119" s="3"/>
      <x:c r="B119" s="3"/>
      <x:c r="C119" s="3"/>
      <x:c r="D119" s="3"/>
      <x:c r="E119" s="3"/>
      <x:c r="F119" s="3"/>
      <x:c r="G119" s="3"/>
      <x:c r="H119" s="3"/>
      <x:c r="I119" s="3"/>
      <x:c r="J119" s="3"/>
      <x:c r="K119" s="3"/>
      <x:c r="L119" s="3"/>
      <x:c r="M119" s="3"/>
    </x:row>
    <x:row r="120">
      <x:c r="A120" s="3"/>
      <x:c r="B120" s="3"/>
      <x:c r="C120" s="3"/>
      <x:c r="D120" s="3"/>
      <x:c r="E120" s="3"/>
      <x:c r="F120" s="3"/>
      <x:c r="G120" s="3"/>
      <x:c r="H120" s="3"/>
      <x:c r="I120" s="3"/>
      <x:c r="J120" s="3"/>
      <x:c r="K120" s="3"/>
      <x:c r="L120" s="3"/>
      <x:c r="M120" s="3"/>
    </x:row>
  </x:sheetData>
  <x:mergeCells>
    <x:mergeCell ref="A1:L2"/>
    <x:mergeCell ref="A3:L3"/>
    <x:mergeCell ref="A10:L10"/>
    <x:mergeCell ref="A11:L13"/>
  </x:mergeCells>
  <x:pageMargins left="0.7" right="0.7" top="0.75" bottom="0.75" header="0.3" footer="0.3"/>
</x:worksheet>
</file>